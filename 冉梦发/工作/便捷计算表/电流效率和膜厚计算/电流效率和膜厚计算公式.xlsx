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-120" yWindow="-120" windowWidth="29040" windowHeight="15840" activeTab="1"/>
  </bookViews>
  <sheets>
    <sheet name="Sn" sheetId="5" r:id="rId1"/>
    <sheet name="Ni" sheetId="4" r:id="rId2"/>
    <sheet name="Au" sheetId="2" r:id="rId3"/>
  </sheets>
  <calcPr calcId="124519"/>
</workbook>
</file>

<file path=xl/calcChain.xml><?xml version="1.0" encoding="utf-8"?>
<calcChain xmlns="http://schemas.openxmlformats.org/spreadsheetml/2006/main">
  <c r="I38" i="4"/>
  <c r="D38"/>
  <c r="E38" s="1"/>
  <c r="G38" s="1"/>
  <c r="E19"/>
  <c r="E20"/>
  <c r="K37"/>
  <c r="K38" l="1"/>
  <c r="D37"/>
  <c r="I37" l="1"/>
  <c r="E37"/>
  <c r="G37" s="1"/>
  <c r="G21" i="5" l="1"/>
  <c r="E21"/>
  <c r="D21"/>
  <c r="D35" i="4" l="1"/>
  <c r="E35"/>
  <c r="G35" s="1"/>
  <c r="G25" i="5" l="1"/>
  <c r="E25"/>
  <c r="D24"/>
  <c r="I34" i="4" l="1"/>
  <c r="D34"/>
  <c r="E34" s="1"/>
  <c r="G34" s="1"/>
  <c r="D33" l="1"/>
  <c r="I33"/>
  <c r="E33"/>
  <c r="G33" s="1"/>
  <c r="K33" s="1"/>
  <c r="Q9" l="1"/>
  <c r="D32"/>
  <c r="E32" s="1"/>
  <c r="G32" s="1"/>
  <c r="K32" s="1"/>
  <c r="I32"/>
  <c r="B32"/>
  <c r="D31" l="1"/>
  <c r="E31" l="1"/>
  <c r="G31" s="1"/>
  <c r="I31"/>
  <c r="E26" i="2"/>
  <c r="G26"/>
  <c r="K26" s="1"/>
  <c r="I26"/>
  <c r="E27"/>
  <c r="G27"/>
  <c r="I27"/>
  <c r="K27"/>
  <c r="G31"/>
  <c r="K31" i="4" l="1"/>
  <c r="D25" i="2"/>
  <c r="E25"/>
  <c r="G25" s="1"/>
  <c r="I25"/>
  <c r="E30" i="4"/>
  <c r="G30"/>
  <c r="I30"/>
  <c r="D30"/>
  <c r="K25" i="2" l="1"/>
  <c r="K30" i="4"/>
  <c r="E29"/>
  <c r="G29"/>
  <c r="I29"/>
  <c r="I28"/>
  <c r="E28"/>
  <c r="G28" s="1"/>
  <c r="K28" s="1"/>
  <c r="K29" l="1"/>
  <c r="K27"/>
  <c r="I27"/>
  <c r="G27"/>
  <c r="E27"/>
  <c r="I26"/>
  <c r="E26"/>
  <c r="G26" s="1"/>
  <c r="K26" l="1"/>
  <c r="K25"/>
  <c r="I25"/>
  <c r="G25"/>
  <c r="E25"/>
  <c r="D25"/>
  <c r="I24"/>
  <c r="D24"/>
  <c r="E24" s="1"/>
  <c r="G24" s="1"/>
  <c r="K24" s="1"/>
  <c r="I23"/>
  <c r="D23"/>
  <c r="E23" s="1"/>
  <c r="G23" s="1"/>
  <c r="K23" s="1"/>
  <c r="D28" i="5"/>
  <c r="I20"/>
  <c r="D20"/>
  <c r="E20" s="1"/>
  <c r="G20" s="1"/>
  <c r="K20" s="1"/>
  <c r="I19"/>
  <c r="E19"/>
  <c r="G19" s="1"/>
  <c r="K19" s="1"/>
  <c r="D22" i="4"/>
  <c r="E22" s="1"/>
  <c r="G22" s="1"/>
  <c r="K22" s="1"/>
  <c r="D21"/>
  <c r="E21" s="1"/>
  <c r="G21" s="1"/>
  <c r="G19"/>
  <c r="K19" s="1"/>
  <c r="I22"/>
  <c r="I21"/>
  <c r="I20"/>
  <c r="G20"/>
  <c r="K20" s="1"/>
  <c r="I19"/>
  <c r="E23" i="2"/>
  <c r="G23" s="1"/>
  <c r="K23" s="1"/>
  <c r="D32"/>
  <c r="I24"/>
  <c r="E24"/>
  <c r="G24" s="1"/>
  <c r="K24" s="1"/>
  <c r="D24"/>
  <c r="I23"/>
  <c r="D21"/>
  <c r="E21" s="1"/>
  <c r="R20"/>
  <c r="R21"/>
  <c r="R23" s="1"/>
  <c r="R22"/>
  <c r="K21" i="4" l="1"/>
  <c r="I22" i="2"/>
  <c r="D22"/>
  <c r="E22" s="1"/>
  <c r="G22" s="1"/>
  <c r="K22" s="1"/>
  <c r="I21"/>
  <c r="G21"/>
  <c r="I20"/>
  <c r="I19"/>
  <c r="G19"/>
  <c r="K19" s="1"/>
  <c r="D20"/>
  <c r="E20" s="1"/>
  <c r="G20" s="1"/>
  <c r="K20" s="1"/>
  <c r="D19"/>
  <c r="E19" s="1"/>
  <c r="K21" l="1"/>
</calcChain>
</file>

<file path=xl/sharedStrings.xml><?xml version="1.0" encoding="utf-8"?>
<sst xmlns="http://schemas.openxmlformats.org/spreadsheetml/2006/main" count="57" uniqueCount="37">
  <si>
    <t>电流密度</t>
    <phoneticPr fontId="1" type="noConversion"/>
  </si>
  <si>
    <t>电流</t>
    <phoneticPr fontId="1" type="noConversion"/>
  </si>
  <si>
    <t>间距</t>
    <phoneticPr fontId="1" type="noConversion"/>
  </si>
  <si>
    <t>速度/min</t>
    <phoneticPr fontId="1" type="noConversion"/>
  </si>
  <si>
    <t>电流效率</t>
    <phoneticPr fontId="1" type="noConversion"/>
  </si>
  <si>
    <t>理论膜厚</t>
    <phoneticPr fontId="1" type="noConversion"/>
  </si>
  <si>
    <t>5138信号端子</t>
    <phoneticPr fontId="1" type="noConversion"/>
  </si>
  <si>
    <t>C23 contact</t>
    <phoneticPr fontId="1" type="noConversion"/>
  </si>
  <si>
    <t>C24 TOP CONT</t>
    <phoneticPr fontId="1" type="noConversion"/>
  </si>
  <si>
    <t>总电镀面积</t>
    <phoneticPr fontId="1" type="noConversion"/>
  </si>
  <si>
    <t>实际膜厚</t>
    <phoneticPr fontId="1" type="noConversion"/>
  </si>
  <si>
    <t>端子膜厚要求</t>
    <phoneticPr fontId="1" type="noConversion"/>
  </si>
  <si>
    <t>0.5μm min</t>
    <phoneticPr fontId="1" type="noConversion"/>
  </si>
  <si>
    <t>0.7μm min</t>
  </si>
  <si>
    <t>0.76μm min</t>
    <phoneticPr fontId="1" type="noConversion"/>
  </si>
  <si>
    <t>0.7μm min</t>
    <phoneticPr fontId="1" type="noConversion"/>
  </si>
  <si>
    <t>单位端子电镀面积</t>
    <phoneticPr fontId="1" type="noConversion"/>
  </si>
  <si>
    <t>需要的喷柜的数量</t>
    <phoneticPr fontId="1" type="noConversion"/>
  </si>
  <si>
    <t>+1</t>
    <phoneticPr fontId="1" type="noConversion"/>
  </si>
  <si>
    <t>C24 BOT CONT</t>
    <phoneticPr fontId="1" type="noConversion"/>
  </si>
  <si>
    <t>模具可镀（处理槽）周长</t>
    <phoneticPr fontId="1" type="noConversion"/>
  </si>
  <si>
    <t>单个工程处理时间/s</t>
    <phoneticPr fontId="1" type="noConversion"/>
  </si>
  <si>
    <t>处理槽长度</t>
    <phoneticPr fontId="1" type="noConversion"/>
  </si>
  <si>
    <r>
      <rPr>
        <sz val="10"/>
        <rFont val="宋体"/>
        <family val="3"/>
        <charset val="134"/>
      </rPr>
      <t>膜厚</t>
    </r>
    <r>
      <rPr>
        <sz val="11"/>
        <color theme="1"/>
        <rFont val="宋体"/>
        <family val="2"/>
        <charset val="134"/>
        <scheme val="minor"/>
      </rPr>
      <t>=</t>
    </r>
    <r>
      <rPr>
        <sz val="10"/>
        <rFont val="宋体"/>
        <family val="3"/>
        <charset val="134"/>
      </rPr>
      <t>电流密度</t>
    </r>
    <r>
      <rPr>
        <sz val="11"/>
        <color theme="1"/>
        <rFont val="宋体"/>
        <family val="2"/>
        <charset val="134"/>
        <scheme val="minor"/>
      </rPr>
      <t>*</t>
    </r>
    <r>
      <rPr>
        <sz val="10"/>
        <rFont val="宋体"/>
        <family val="3"/>
        <charset val="134"/>
      </rPr>
      <t>时间</t>
    </r>
    <r>
      <rPr>
        <sz val="11"/>
        <color theme="1"/>
        <rFont val="宋体"/>
        <family val="2"/>
        <charset val="134"/>
        <scheme val="minor"/>
      </rPr>
      <t>*</t>
    </r>
    <r>
      <rPr>
        <sz val="10"/>
        <rFont val="宋体"/>
        <family val="3"/>
        <charset val="134"/>
      </rPr>
      <t>电流效率</t>
    </r>
    <r>
      <rPr>
        <sz val="11"/>
        <color theme="1"/>
        <rFont val="宋体"/>
        <family val="2"/>
        <charset val="134"/>
        <scheme val="minor"/>
      </rPr>
      <t>*</t>
    </r>
    <r>
      <rPr>
        <sz val="10"/>
        <rFont val="宋体"/>
        <family val="3"/>
        <charset val="134"/>
      </rPr>
      <t>原子量</t>
    </r>
    <r>
      <rPr>
        <sz val="11"/>
        <color theme="1"/>
        <rFont val="宋体"/>
        <family val="2"/>
        <charset val="134"/>
        <scheme val="minor"/>
      </rPr>
      <t>/965/金属密度/电荷数</t>
    </r>
    <phoneticPr fontId="3" type="noConversion"/>
  </si>
  <si>
    <t>5650 100</t>
    <phoneticPr fontId="1" type="noConversion"/>
  </si>
  <si>
    <t>5651 200</t>
    <phoneticPr fontId="1" type="noConversion"/>
  </si>
  <si>
    <t>TL</t>
    <phoneticPr fontId="1" type="noConversion"/>
  </si>
  <si>
    <t>镀铟</t>
    <phoneticPr fontId="1" type="noConversion"/>
  </si>
  <si>
    <t>.</t>
    <phoneticPr fontId="1" type="noConversion"/>
  </si>
  <si>
    <t>间距 mm</t>
    <phoneticPr fontId="1" type="noConversion"/>
  </si>
  <si>
    <t>单位端子电镀面积 mm²</t>
    <phoneticPr fontId="1" type="noConversion"/>
  </si>
  <si>
    <t>总电镀面积 mm²</t>
    <phoneticPr fontId="1" type="noConversion"/>
  </si>
  <si>
    <t>电流 A</t>
    <phoneticPr fontId="1" type="noConversion"/>
  </si>
  <si>
    <t>电流密度 A/dm²</t>
    <phoneticPr fontId="1" type="noConversion"/>
  </si>
  <si>
    <t>理论膜厚 um</t>
    <phoneticPr fontId="1" type="noConversion"/>
  </si>
  <si>
    <t>处理槽长度 mm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</si>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</sst>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>
  <numFmts count="2">
    <numFmt numFmtId="176" formatCode="0.00_ "/>
    <numFmt numFmtId="177" formatCode="0.0_ "/>
  </numFmts>
  <fonts count="6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76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2" borderId="0" xfId="0" applyFill="1">
      <alignment vertical="center"/>
    </xf>
    <xf numFmtId="49" fontId="0" fillId="2" borderId="0" xfId="0" applyNumberFormat="1" applyFill="1">
      <alignment vertical="center"/>
    </xf>
    <xf numFmtId="0" fontId="4" fillId="0" borderId="0" xfId="0" applyFont="1" applyAlignment="1">
      <alignment horizontal="center"/>
    </xf>
    <xf numFmtId="9" fontId="0" fillId="0" borderId="0" xfId="1" applyFont="1">
      <alignment vertical="center"/>
    </xf>
    <xf numFmtId="9" fontId="0" fillId="0" borderId="0" xfId="0" applyNumberForma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1:K28"/>
  <sheetViews>
    <sheetView topLeftCell="A7" workbookViewId="0">
      <selection activeCell="B13" sqref="B13"/>
    </sheetView>
  </sheetViews>
  <sheetFormatPr defaultRowHeight="13.5"/>
  <cols>
    <col min="1" max="1" width="13" customWidth="1"/>
    <col min="2" max="2" width="23.75" style="1" customWidth="1"/>
    <col min="4" max="4" width="17.75" customWidth="1"/>
    <col min="5" max="5" width="11.375" customWidth="1"/>
    <col min="7" max="8" width="10.125" customWidth="1"/>
    <col min="9" max="9" width="19" customWidth="1"/>
    <col min="10" max="10" width="10.125" customWidth="1"/>
    <col min="11" max="11" width="10.875" customWidth="1"/>
  </cols>
  <sheetData>
    <row r="11" spans="2:2">
      <c r="B11" s="6" t="s">
        <v>23</v>
      </c>
    </row>
    <row r="18" spans="1:11" ht="21.75" customHeight="1">
      <c r="B18" s="1" t="s">
        <v>22</v>
      </c>
      <c r="C18" t="s">
        <v>2</v>
      </c>
      <c r="D18" t="s">
        <v>16</v>
      </c>
      <c r="E18" t="s">
        <v>9</v>
      </c>
      <c r="F18" t="s">
        <v>1</v>
      </c>
      <c r="G18" t="s">
        <v>0</v>
      </c>
      <c r="H18" t="s">
        <v>3</v>
      </c>
      <c r="I18" t="s">
        <v>21</v>
      </c>
      <c r="J18" t="s">
        <v>4</v>
      </c>
      <c r="K18" t="s">
        <v>5</v>
      </c>
    </row>
    <row r="19" spans="1:11" ht="21.75" customHeight="1">
      <c r="A19" t="s">
        <v>7</v>
      </c>
      <c r="B19" s="1">
        <v>1200</v>
      </c>
      <c r="C19">
        <v>4.8</v>
      </c>
      <c r="D19" s="4">
        <v>0</v>
      </c>
      <c r="E19" s="3">
        <f t="shared" ref="E19" si="0">B19/C19*D19</f>
        <v>0</v>
      </c>
      <c r="F19">
        <v>40</v>
      </c>
      <c r="G19" s="2" t="e">
        <f t="shared" ref="G19:G21" si="1">F19/E19*10000</f>
        <v>#DIV/0!</v>
      </c>
      <c r="H19" s="3">
        <v>8</v>
      </c>
      <c r="I19" s="2">
        <f t="shared" ref="I19:I20" si="2">B19/1000/H19*60</f>
        <v>9</v>
      </c>
      <c r="J19" s="7">
        <v>0.85</v>
      </c>
      <c r="K19" s="2" t="e">
        <f>G19*I19*J19*119/965/7.28/2</f>
        <v>#DIV/0!</v>
      </c>
    </row>
    <row r="20" spans="1:11" ht="21.75" customHeight="1">
      <c r="A20" t="s">
        <v>8</v>
      </c>
      <c r="B20" s="1">
        <v>1200</v>
      </c>
      <c r="C20">
        <v>10</v>
      </c>
      <c r="D20" s="4">
        <f>(1+0.15)*2*(20.27-4.58)*4+4.58*4*(1.5+0.15)*2+22*2*(3+0.15)</f>
        <v>343.404</v>
      </c>
      <c r="E20" s="3">
        <f>B20/C20*D20</f>
        <v>41208.479999999996</v>
      </c>
      <c r="F20">
        <v>40</v>
      </c>
      <c r="G20" s="2">
        <f t="shared" si="1"/>
        <v>9.7067399719669361</v>
      </c>
      <c r="H20" s="3">
        <v>5</v>
      </c>
      <c r="I20" s="2">
        <f t="shared" si="2"/>
        <v>14.399999999999999</v>
      </c>
      <c r="J20" s="7">
        <v>0.85</v>
      </c>
      <c r="K20" s="2">
        <f>G20*I20*J20*119/965/7.28/2</f>
        <v>1.0062666666833797</v>
      </c>
    </row>
    <row r="21" spans="1:11">
      <c r="B21" s="1">
        <v>850</v>
      </c>
      <c r="C21">
        <v>15</v>
      </c>
      <c r="D21">
        <f>+(13.28-9.85)*0.15*4+2.79*0.15*2</f>
        <v>2.8949999999999996</v>
      </c>
      <c r="E21" s="3">
        <f>B21/C21*D21</f>
        <v>164.04999999999998</v>
      </c>
      <c r="F21">
        <v>0.1</v>
      </c>
      <c r="G21" s="2">
        <f t="shared" si="1"/>
        <v>6.0957025297165508</v>
      </c>
    </row>
    <row r="24" spans="1:11">
      <c r="D24">
        <f>45*10*2</f>
        <v>900</v>
      </c>
    </row>
    <row r="25" spans="1:11">
      <c r="B25" s="1">
        <v>800</v>
      </c>
      <c r="C25">
        <v>5</v>
      </c>
      <c r="D25">
        <v>900</v>
      </c>
      <c r="E25">
        <f>B25/C25*D25</f>
        <v>144000</v>
      </c>
      <c r="F25">
        <v>250</v>
      </c>
      <c r="G25">
        <f t="shared" ref="G25" si="3">F25/E25*10000</f>
        <v>17.361111111111111</v>
      </c>
    </row>
    <row r="28" spans="1:11">
      <c r="D28">
        <f>(1.4+0.3)*2*(1.35+0.3+1.04+0.3)+4.05*2*(0.55+0.3)+(0.72+0.3)*2*2</f>
        <v>21.131</v>
      </c>
    </row>
  </sheetData>
  <phoneticPr fontId="1" type="noConversion"/>
  <pageMargins left="0.27559055118110237" right="0.19685039370078741" top="0.43307086614173229" bottom="0.74803149606299213" header="0.31496062992125984" footer="0.31496062992125984"/>
  <pageSetup paperSize="9" scale="70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9:Q38"/>
  <sheetViews>
    <sheetView tabSelected="1" topLeftCell="A7" workbookViewId="0">
      <selection activeCell="B38" sqref="B38"/>
    </sheetView>
  </sheetViews>
  <sheetFormatPr defaultRowHeight="13.5"/>
  <cols>
    <col min="1" max="1" width="13" customWidth="1"/>
    <col min="2" max="2" width="23.75" style="1" customWidth="1"/>
    <col min="4" max="4" width="23.625" customWidth="1"/>
    <col min="5" max="5" width="24.125" customWidth="1"/>
    <col min="7" max="7" width="22.25" customWidth="1"/>
    <col min="8" max="8" width="18.625" customWidth="1"/>
    <col min="9" max="9" width="19" customWidth="1"/>
    <col min="10" max="10" width="10.125" customWidth="1"/>
    <col min="11" max="11" width="12.125" customWidth="1"/>
  </cols>
  <sheetData>
    <row r="9" spans="2:17">
      <c r="Q9">
        <f>0.1/(1.5*1.75)</f>
        <v>3.8095238095238099E-2</v>
      </c>
    </row>
    <row r="11" spans="2:17">
      <c r="B11" s="6" t="s">
        <v>23</v>
      </c>
    </row>
    <row r="18" spans="1:11" ht="21.75" customHeight="1">
      <c r="B18" s="1" t="s">
        <v>35</v>
      </c>
      <c r="C18" t="s">
        <v>29</v>
      </c>
      <c r="D18" t="s">
        <v>30</v>
      </c>
      <c r="E18" t="s">
        <v>31</v>
      </c>
      <c r="F18" t="s">
        <v>32</v>
      </c>
      <c r="G18" t="s">
        <v>33</v>
      </c>
      <c r="H18" t="s">
        <v>3</v>
      </c>
      <c r="I18" t="s">
        <v>21</v>
      </c>
      <c r="J18" t="s">
        <v>4</v>
      </c>
      <c r="K18" t="s">
        <v>34</v>
      </c>
    </row>
    <row r="19" spans="1:11" ht="21.75" customHeight="1">
      <c r="A19" t="s">
        <v>6</v>
      </c>
      <c r="B19" s="1">
        <v>720</v>
      </c>
      <c r="C19">
        <v>20</v>
      </c>
      <c r="D19" s="4">
        <v>0</v>
      </c>
      <c r="E19" s="3">
        <f>B19/C19*D19</f>
        <v>0</v>
      </c>
      <c r="F19">
        <v>20</v>
      </c>
      <c r="G19" s="2" t="e">
        <f t="shared" ref="G19:G22" si="0">F19/E19*10000</f>
        <v>#DIV/0!</v>
      </c>
      <c r="H19" s="3">
        <v>4</v>
      </c>
      <c r="I19" s="2">
        <f t="shared" ref="I19:I22" si="1">B19/1000/H19*60</f>
        <v>10.799999999999999</v>
      </c>
      <c r="J19" s="7">
        <v>0.85</v>
      </c>
      <c r="K19" s="2" t="e">
        <f>G19*I19*J19*59/965/8.88/2</f>
        <v>#DIV/0!</v>
      </c>
    </row>
    <row r="20" spans="1:11" ht="21.75" customHeight="1">
      <c r="A20" t="s">
        <v>7</v>
      </c>
      <c r="B20" s="1">
        <v>1200</v>
      </c>
      <c r="C20">
        <v>4.8</v>
      </c>
      <c r="D20" s="4">
        <v>0</v>
      </c>
      <c r="E20" s="3">
        <f t="shared" ref="E20:E22" si="2">B20/C20*D20</f>
        <v>0</v>
      </c>
      <c r="F20">
        <v>40</v>
      </c>
      <c r="G20" s="2" t="e">
        <f t="shared" si="0"/>
        <v>#DIV/0!</v>
      </c>
      <c r="H20" s="3">
        <v>8</v>
      </c>
      <c r="I20" s="2">
        <f t="shared" si="1"/>
        <v>9</v>
      </c>
      <c r="J20" s="7">
        <v>0.85</v>
      </c>
      <c r="K20" s="2" t="e">
        <f t="shared" ref="K20:K24" si="3">G20*I20*J20*59/965/8.88/2</f>
        <v>#DIV/0!</v>
      </c>
    </row>
    <row r="21" spans="1:11" ht="21.75" customHeight="1">
      <c r="A21" t="s">
        <v>8</v>
      </c>
      <c r="B21" s="1">
        <v>1200</v>
      </c>
      <c r="C21">
        <v>22</v>
      </c>
      <c r="D21" s="4">
        <f>(1+0.15)*2*(20.27-4.58)*4+4.58*4*(1.5+0.15)*2+22*2*(3+0.15)</f>
        <v>343.404</v>
      </c>
      <c r="E21" s="3">
        <f>B21/C21*D21</f>
        <v>18731.127272727274</v>
      </c>
      <c r="F21">
        <v>40</v>
      </c>
      <c r="G21" s="2">
        <f t="shared" si="0"/>
        <v>21.354827938327254</v>
      </c>
      <c r="H21" s="3">
        <v>5</v>
      </c>
      <c r="I21" s="2">
        <f t="shared" si="1"/>
        <v>14.399999999999999</v>
      </c>
      <c r="J21" s="7">
        <v>0.85</v>
      </c>
      <c r="K21" s="2">
        <f t="shared" si="3"/>
        <v>0.89982743686355804</v>
      </c>
    </row>
    <row r="22" spans="1:11" ht="21.75" customHeight="1">
      <c r="A22" t="s">
        <v>19</v>
      </c>
      <c r="B22" s="1">
        <v>1200</v>
      </c>
      <c r="C22">
        <v>22</v>
      </c>
      <c r="D22" s="4">
        <f>4.58*4*2*(1.52+0.15)+(0.6+0.15)*2*1.84+(1+0.15)*2*(13.61-4.58+0.75+12.34-4.58+2.63)+(0.75+0.15)*2*(2.75+2.88+4.36+4.44)+(0.5+0.15)*2*4*1.12+22*2*(3+0.15)</f>
        <v>280.73779999999999</v>
      </c>
      <c r="E22" s="3">
        <f t="shared" si="2"/>
        <v>15312.970909090909</v>
      </c>
      <c r="F22">
        <v>40</v>
      </c>
      <c r="G22" s="2">
        <f t="shared" si="0"/>
        <v>26.121645654177431</v>
      </c>
      <c r="H22" s="3">
        <v>6</v>
      </c>
      <c r="I22" s="2">
        <f t="shared" si="1"/>
        <v>11.999999999999998</v>
      </c>
      <c r="J22" s="7">
        <v>0.85</v>
      </c>
      <c r="K22" s="2">
        <f t="shared" si="3"/>
        <v>0.91723885279162432</v>
      </c>
    </row>
    <row r="23" spans="1:11">
      <c r="A23" t="s">
        <v>24</v>
      </c>
      <c r="B23" s="1">
        <v>720</v>
      </c>
      <c r="C23">
        <v>7</v>
      </c>
      <c r="D23">
        <f>(0.65+0.25)*2*(5.25*2+4.75*4)+(0.42+0.25)*2*(2.12+2.5)*6+(7-1.75)*2*(8.75-2.5+1.5)+1.75*3*2</f>
        <v>182.1198</v>
      </c>
      <c r="E23" s="3">
        <f t="shared" ref="E23:E29" si="4">B23/C23*D23</f>
        <v>18732.322285714286</v>
      </c>
      <c r="F23">
        <v>40</v>
      </c>
      <c r="G23" s="2">
        <f t="shared" ref="G23" si="5">F23/E23*10000</f>
        <v>21.353465624763967</v>
      </c>
      <c r="H23" s="3">
        <v>5</v>
      </c>
      <c r="I23" s="2">
        <f t="shared" ref="I23" si="6">B23/1000/H23*60</f>
        <v>8.6399999999999988</v>
      </c>
      <c r="J23" s="7">
        <v>0.85</v>
      </c>
      <c r="K23" s="2">
        <f t="shared" si="3"/>
        <v>0.53986201987045035</v>
      </c>
    </row>
    <row r="24" spans="1:11">
      <c r="A24" t="s">
        <v>25</v>
      </c>
      <c r="B24" s="1">
        <v>720</v>
      </c>
      <c r="C24">
        <v>10.16</v>
      </c>
      <c r="D24">
        <f>(0.65+0.25)*2*(5.25*3+4.95*4)+(0.35+0.25)*2*(2.5+2.12)*7+(10.16-2.54)*2*(8.8-2.5+1.5)</f>
        <v>221.67000000000002</v>
      </c>
      <c r="E24" s="3">
        <f t="shared" si="4"/>
        <v>15708.897637795277</v>
      </c>
      <c r="F24">
        <v>40</v>
      </c>
      <c r="G24" s="2">
        <f t="shared" ref="G24:G28" si="7">F24/E24*10000</f>
        <v>25.463276241460029</v>
      </c>
      <c r="H24" s="3">
        <v>5</v>
      </c>
      <c r="I24" s="2">
        <f t="shared" ref="I24:I28" si="8">B24/1000/H24*60</f>
        <v>8.6399999999999988</v>
      </c>
      <c r="J24" s="7">
        <v>0.85</v>
      </c>
      <c r="K24" s="2">
        <f t="shared" si="3"/>
        <v>0.64376696437938552</v>
      </c>
    </row>
    <row r="25" spans="1:11">
      <c r="A25" t="s">
        <v>26</v>
      </c>
      <c r="B25" s="1">
        <v>800</v>
      </c>
      <c r="C25">
        <v>10.8</v>
      </c>
      <c r="D25">
        <f>21.7*7.2</f>
        <v>156.24</v>
      </c>
      <c r="E25" s="3">
        <f t="shared" si="4"/>
        <v>11573.333333333334</v>
      </c>
      <c r="F25">
        <v>60</v>
      </c>
      <c r="G25" s="2">
        <f t="shared" si="7"/>
        <v>51.843317972350235</v>
      </c>
      <c r="H25" s="3">
        <v>5</v>
      </c>
      <c r="I25" s="2">
        <f t="shared" si="8"/>
        <v>9.6</v>
      </c>
      <c r="J25" s="7">
        <v>0.7</v>
      </c>
      <c r="K25" s="2">
        <f t="shared" ref="K25:K30" si="9">G25*I25*J25*59/965/8.96/2</f>
        <v>1.1886356581743509</v>
      </c>
    </row>
    <row r="26" spans="1:11">
      <c r="A26" t="s">
        <v>27</v>
      </c>
      <c r="B26" s="1">
        <v>800</v>
      </c>
      <c r="C26">
        <v>2.2000000000000002</v>
      </c>
      <c r="D26">
        <v>17.664000000000001</v>
      </c>
      <c r="E26" s="3">
        <f t="shared" si="4"/>
        <v>6423.2727272727279</v>
      </c>
      <c r="F26">
        <v>8</v>
      </c>
      <c r="G26" s="2">
        <f t="shared" si="7"/>
        <v>12.454710144927535</v>
      </c>
      <c r="H26" s="3">
        <v>3</v>
      </c>
      <c r="I26" s="2">
        <f t="shared" si="8"/>
        <v>16</v>
      </c>
      <c r="J26" s="8">
        <v>0.98</v>
      </c>
      <c r="K26" s="2">
        <f t="shared" si="9"/>
        <v>0.66629472666516476</v>
      </c>
    </row>
    <row r="27" spans="1:11">
      <c r="B27" s="1">
        <v>800</v>
      </c>
      <c r="C27">
        <v>2.2000000000000002</v>
      </c>
      <c r="D27">
        <v>15.36</v>
      </c>
      <c r="E27" s="3">
        <f t="shared" si="4"/>
        <v>5585.454545454545</v>
      </c>
      <c r="F27">
        <v>8</v>
      </c>
      <c r="G27" s="2">
        <f t="shared" si="7"/>
        <v>14.322916666666668</v>
      </c>
      <c r="H27" s="3">
        <v>3</v>
      </c>
      <c r="I27" s="2">
        <f t="shared" si="8"/>
        <v>16</v>
      </c>
      <c r="J27" s="8">
        <v>0.98</v>
      </c>
      <c r="K27" s="2">
        <f t="shared" si="9"/>
        <v>0.7662389356649395</v>
      </c>
    </row>
    <row r="28" spans="1:11">
      <c r="B28" s="1">
        <v>800</v>
      </c>
      <c r="C28">
        <v>31.5</v>
      </c>
      <c r="D28">
        <v>1609.65</v>
      </c>
      <c r="E28" s="3">
        <f t="shared" si="4"/>
        <v>40880</v>
      </c>
      <c r="F28">
        <v>30</v>
      </c>
      <c r="G28" s="2">
        <f t="shared" si="7"/>
        <v>7.3385518590998036</v>
      </c>
      <c r="H28" s="3">
        <v>7</v>
      </c>
      <c r="I28" s="2">
        <f t="shared" si="8"/>
        <v>6.8571428571428577</v>
      </c>
      <c r="J28" s="8">
        <v>0.7</v>
      </c>
      <c r="K28" s="2">
        <f t="shared" si="9"/>
        <v>0.12018168755187503</v>
      </c>
    </row>
    <row r="29" spans="1:11">
      <c r="B29" s="1">
        <v>800</v>
      </c>
      <c r="C29">
        <v>31.5</v>
      </c>
      <c r="D29">
        <v>1609.65</v>
      </c>
      <c r="E29" s="3">
        <f t="shared" si="4"/>
        <v>40880</v>
      </c>
      <c r="F29">
        <v>12</v>
      </c>
      <c r="G29" s="2">
        <f t="shared" ref="G29" si="10">F29/E29*10000</f>
        <v>2.9354207436399218</v>
      </c>
      <c r="H29" s="3">
        <v>7</v>
      </c>
      <c r="I29" s="2">
        <f t="shared" ref="I29" si="11">B29/1000/H29*60</f>
        <v>6.8571428571428577</v>
      </c>
      <c r="J29" s="8">
        <v>0.9</v>
      </c>
      <c r="K29" s="2">
        <f t="shared" si="9"/>
        <v>6.1807725026678591E-2</v>
      </c>
    </row>
    <row r="30" spans="1:11">
      <c r="B30" s="1">
        <v>650</v>
      </c>
      <c r="C30">
        <v>12</v>
      </c>
      <c r="D30">
        <f>16*13.6*2*0.5</f>
        <v>217.6</v>
      </c>
      <c r="E30" s="3">
        <f t="shared" ref="E30" si="12">B30/C30*D30</f>
        <v>11786.666666666666</v>
      </c>
      <c r="F30">
        <v>0.3</v>
      </c>
      <c r="G30" s="2">
        <f t="shared" ref="G30" si="13">F30/E30*10000</f>
        <v>0.25452488687782804</v>
      </c>
      <c r="H30" s="3">
        <v>4.5</v>
      </c>
      <c r="I30" s="2">
        <f t="shared" ref="I30" si="14">B30/1000/H30*60</f>
        <v>8.6666666666666679</v>
      </c>
      <c r="J30" s="8">
        <v>0.8</v>
      </c>
      <c r="K30" s="2">
        <f t="shared" si="9"/>
        <v>6.02086689598119E-3</v>
      </c>
    </row>
    <row r="31" spans="1:11">
      <c r="B31" s="1">
        <v>800</v>
      </c>
      <c r="C31">
        <v>12</v>
      </c>
      <c r="D31">
        <f>20*12*2*0.5</f>
        <v>240</v>
      </c>
      <c r="E31" s="3">
        <f t="shared" ref="E31:E38" si="15">B31/C31*D31</f>
        <v>16000.000000000002</v>
      </c>
      <c r="F31">
        <v>20</v>
      </c>
      <c r="G31" s="2">
        <f t="shared" ref="G31:G38" si="16">F31/E31*10000</f>
        <v>12.499999999999998</v>
      </c>
      <c r="H31" s="3">
        <v>4</v>
      </c>
      <c r="I31" s="2">
        <f t="shared" ref="I31:I34" si="17">B31/1000/H31*60</f>
        <v>12</v>
      </c>
      <c r="J31" s="8">
        <v>1</v>
      </c>
      <c r="K31" s="2">
        <f t="shared" ref="K31:K33" si="18">G31*I31*J31*59/965/8.96/2</f>
        <v>0.51177368615840102</v>
      </c>
    </row>
    <row r="32" spans="1:11">
      <c r="B32" s="1">
        <f>800*4</f>
        <v>3200</v>
      </c>
      <c r="C32">
        <v>19</v>
      </c>
      <c r="D32">
        <f>(12*20*2+19*3*4+1.65*8.2*4*2+2*33*2)*0.8</f>
        <v>758.5920000000001</v>
      </c>
      <c r="E32" s="3">
        <f t="shared" si="15"/>
        <v>127762.86315789477</v>
      </c>
      <c r="F32">
        <v>140</v>
      </c>
      <c r="G32" s="2">
        <f t="shared" si="16"/>
        <v>10.957800767738123</v>
      </c>
      <c r="H32" s="3">
        <v>3.5</v>
      </c>
      <c r="I32" s="2">
        <f t="shared" si="17"/>
        <v>54.857142857142861</v>
      </c>
      <c r="J32" s="8">
        <v>1</v>
      </c>
      <c r="K32" s="2">
        <f t="shared" si="18"/>
        <v>2.0508942961717751</v>
      </c>
    </row>
    <row r="33" spans="1:11">
      <c r="B33" s="1">
        <v>250</v>
      </c>
      <c r="C33">
        <v>15</v>
      </c>
      <c r="D33">
        <f>0.4*4.7*8</f>
        <v>15.040000000000001</v>
      </c>
      <c r="E33" s="3">
        <f t="shared" si="15"/>
        <v>250.66666666666671</v>
      </c>
      <c r="F33">
        <v>1</v>
      </c>
      <c r="G33" s="2">
        <f t="shared" si="16"/>
        <v>39.893617021276583</v>
      </c>
      <c r="H33" s="3">
        <v>4</v>
      </c>
      <c r="I33" s="2">
        <f t="shared" si="17"/>
        <v>3.75</v>
      </c>
      <c r="J33" s="8">
        <v>0.9</v>
      </c>
      <c r="K33" s="2">
        <f t="shared" si="18"/>
        <v>0.45937132733633068</v>
      </c>
    </row>
    <row r="34" spans="1:11">
      <c r="B34" s="1">
        <v>780</v>
      </c>
      <c r="C34">
        <v>2</v>
      </c>
      <c r="D34">
        <f>5.4*1.1*2+2.5*2*2*0.5</f>
        <v>16.880000000000003</v>
      </c>
      <c r="E34" s="3">
        <f t="shared" si="15"/>
        <v>6583.2000000000007</v>
      </c>
      <c r="F34">
        <v>7</v>
      </c>
      <c r="G34" s="2">
        <f t="shared" si="16"/>
        <v>10.63312674687082</v>
      </c>
      <c r="H34" s="3">
        <v>8</v>
      </c>
      <c r="I34" s="2">
        <f t="shared" si="17"/>
        <v>5.8500000000000005</v>
      </c>
    </row>
    <row r="35" spans="1:11">
      <c r="B35" s="1">
        <v>165</v>
      </c>
      <c r="C35">
        <v>2.99</v>
      </c>
      <c r="D35">
        <f>0.3*12*2*2*2</f>
        <v>28.799999999999997</v>
      </c>
      <c r="E35" s="3">
        <f t="shared" si="15"/>
        <v>1589.297658862876</v>
      </c>
      <c r="F35">
        <v>1</v>
      </c>
      <c r="G35" s="2">
        <f t="shared" si="16"/>
        <v>6.2920875420875433</v>
      </c>
    </row>
    <row r="36" spans="1:11">
      <c r="B36" s="1" t="s">
        <v>28</v>
      </c>
    </row>
    <row r="37" spans="1:11">
      <c r="A37">
        <v>1354</v>
      </c>
      <c r="B37" s="1">
        <v>800</v>
      </c>
      <c r="C37">
        <v>14</v>
      </c>
      <c r="D37">
        <f>+(11.7-1.5)*2*4+(13.2-11.7)*2*14*2</f>
        <v>165.6</v>
      </c>
      <c r="E37">
        <f t="shared" si="15"/>
        <v>9462.8571428571431</v>
      </c>
      <c r="F37">
        <v>10</v>
      </c>
      <c r="G37" s="2">
        <f t="shared" si="16"/>
        <v>10.567632850241544</v>
      </c>
      <c r="H37" s="3">
        <v>3</v>
      </c>
      <c r="I37" s="2">
        <f t="shared" ref="I37:I38" si="19">B37/1000/H37*60</f>
        <v>16</v>
      </c>
      <c r="J37" s="8">
        <v>1</v>
      </c>
      <c r="K37" s="2">
        <f>G37*I37*J37*59/965/8.96/2</f>
        <v>0.57687855122525078</v>
      </c>
    </row>
    <row r="38" spans="1:11">
      <c r="B38" s="1" t="s">
        <v>36</v>
      </c>
      <c r="C38">
        <v>22</v>
      </c>
      <c r="D38" s="4">
        <f>4.58*4*2*(1.52+0.15)+(0.6+0.15)*2*1.84+(1+0.15)*2*(13.61-4.58+0.75+12.34-4.58+2.63)+(0.75+0.15)*2*(2.75+2.88+4.36+4.44)+(0.5+0.15)*2*4*1.12+22*2*(3+0.15)</f>
        <v>280.73779999999999</v>
      </c>
      <c r="E38" s="3" t="e">
        <f t="shared" si="15"/>
        <v>#VALUE!</v>
      </c>
      <c r="F38">
        <v>40</v>
      </c>
      <c r="G38" s="2" t="e">
        <f t="shared" si="16"/>
        <v>#VALUE!</v>
      </c>
      <c r="H38" s="3">
        <v>6</v>
      </c>
      <c r="I38" s="2" t="e">
        <f t="shared" si="19"/>
        <v>#VALUE!</v>
      </c>
      <c r="J38" s="7">
        <v>0.85</v>
      </c>
      <c r="K38" s="2" t="e">
        <f t="shared" ref="K38" si="20">G38*I38*J38*59/965/8.88/2</f>
        <v>#VALUE!</v>
      </c>
    </row>
  </sheetData>
  <phoneticPr fontId="1" type="noConversion"/>
  <pageMargins left="0.27559055118110237" right="0.19685039370078741" top="0.43307086614173229" bottom="0.74803149606299213" header="0.31496062992125984" footer="0.31496062992125984"/>
  <pageSetup paperSize="9" scale="70" orientation="landscape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1:R32"/>
  <sheetViews>
    <sheetView workbookViewId="0">
      <selection activeCell="B26" sqref="B26"/>
    </sheetView>
  </sheetViews>
  <sheetFormatPr defaultRowHeight="13.5"/>
  <cols>
    <col min="1" max="1" width="13" customWidth="1"/>
    <col min="2" max="2" width="23.75" style="1" customWidth="1"/>
    <col min="4" max="4" width="17.75" customWidth="1"/>
    <col min="5" max="5" width="11.375" customWidth="1"/>
    <col min="7" max="8" width="10.125" customWidth="1"/>
    <col min="9" max="9" width="19" customWidth="1"/>
    <col min="10" max="10" width="10.125" customWidth="1"/>
    <col min="11" max="11" width="10.875" customWidth="1"/>
    <col min="13" max="13" width="12.75" customWidth="1"/>
    <col min="14" max="14" width="18.875" customWidth="1"/>
  </cols>
  <sheetData>
    <row r="11" spans="2:2">
      <c r="B11" s="6" t="s">
        <v>23</v>
      </c>
    </row>
    <row r="18" spans="1:18" ht="21.75" customHeight="1">
      <c r="B18" s="1" t="s">
        <v>20</v>
      </c>
      <c r="C18" t="s">
        <v>2</v>
      </c>
      <c r="D18" t="s">
        <v>16</v>
      </c>
      <c r="E18" t="s">
        <v>9</v>
      </c>
      <c r="F18" t="s">
        <v>1</v>
      </c>
      <c r="G18" t="s">
        <v>0</v>
      </c>
      <c r="H18" t="s">
        <v>3</v>
      </c>
      <c r="I18" t="s">
        <v>21</v>
      </c>
      <c r="J18" t="s">
        <v>4</v>
      </c>
      <c r="K18" t="s">
        <v>5</v>
      </c>
      <c r="L18" t="s">
        <v>10</v>
      </c>
      <c r="M18" t="s">
        <v>11</v>
      </c>
      <c r="N18" t="s">
        <v>17</v>
      </c>
    </row>
    <row r="19" spans="1:18" ht="21.75" customHeight="1">
      <c r="A19" t="s">
        <v>6</v>
      </c>
      <c r="B19" s="1">
        <v>280</v>
      </c>
      <c r="C19">
        <v>20</v>
      </c>
      <c r="D19" s="4">
        <f>(0.6+0.2*2)*2.5*9</f>
        <v>22.5</v>
      </c>
      <c r="E19" s="3">
        <f>B19/C19*D19</f>
        <v>315</v>
      </c>
      <c r="F19">
        <v>0.8</v>
      </c>
      <c r="G19" s="2">
        <f t="shared" ref="G19:G24" si="0">F19/E19*10000</f>
        <v>25.396825396825395</v>
      </c>
      <c r="H19" s="3">
        <v>4</v>
      </c>
      <c r="I19" s="2">
        <f t="shared" ref="I19:I24" si="1">B19/1000/H19*60</f>
        <v>4.2</v>
      </c>
      <c r="J19" s="2">
        <v>0.18</v>
      </c>
      <c r="K19" s="2">
        <f>G19*I19*J19*197/965/19.3/1</f>
        <v>0.20308733120352221</v>
      </c>
      <c r="L19">
        <v>0.2</v>
      </c>
      <c r="M19" t="s">
        <v>12</v>
      </c>
      <c r="N19">
        <v>3</v>
      </c>
    </row>
    <row r="20" spans="1:18" ht="21.75" customHeight="1">
      <c r="A20" t="s">
        <v>7</v>
      </c>
      <c r="B20" s="1">
        <v>280</v>
      </c>
      <c r="C20">
        <v>4.8</v>
      </c>
      <c r="D20" s="4">
        <f>(0.4+0.15*2)*1.48*8</f>
        <v>8.2880000000000003</v>
      </c>
      <c r="E20" s="3">
        <f t="shared" ref="E20:E24" si="2">B20/C20*D20</f>
        <v>483.4666666666667</v>
      </c>
      <c r="F20">
        <v>2.5</v>
      </c>
      <c r="G20" s="2">
        <f t="shared" si="0"/>
        <v>51.709873138444564</v>
      </c>
      <c r="H20" s="3">
        <v>8</v>
      </c>
      <c r="I20" s="2">
        <f t="shared" si="1"/>
        <v>2.1</v>
      </c>
      <c r="J20">
        <v>0.14000000000000001</v>
      </c>
      <c r="K20" s="2">
        <f t="shared" ref="K20:K24" si="3">G20*I20*J20*197/965/19.3/1</f>
        <v>0.16080605827981595</v>
      </c>
      <c r="M20" t="s">
        <v>15</v>
      </c>
      <c r="N20" s="4">
        <v>5</v>
      </c>
      <c r="O20" s="5" t="s">
        <v>18</v>
      </c>
      <c r="P20">
        <v>0.22</v>
      </c>
      <c r="Q20">
        <v>12000</v>
      </c>
      <c r="R20">
        <f>P20*Q20</f>
        <v>2640</v>
      </c>
    </row>
    <row r="21" spans="1:18" ht="21.75" customHeight="1">
      <c r="A21" t="s">
        <v>8</v>
      </c>
      <c r="B21" s="1">
        <v>280</v>
      </c>
      <c r="C21">
        <v>22</v>
      </c>
      <c r="D21" s="4">
        <f>(1.7+0.15*2)*(6.58*2+3.92*2)</f>
        <v>42</v>
      </c>
      <c r="E21" s="3">
        <f>B21/C21*D21</f>
        <v>534.5454545454545</v>
      </c>
      <c r="F21">
        <v>2</v>
      </c>
      <c r="G21" s="2">
        <f t="shared" si="0"/>
        <v>37.414965986394563</v>
      </c>
      <c r="H21" s="3">
        <v>5</v>
      </c>
      <c r="I21" s="2">
        <f t="shared" si="1"/>
        <v>3.3600000000000003</v>
      </c>
      <c r="J21">
        <v>0.18</v>
      </c>
      <c r="K21" s="2">
        <f t="shared" si="3"/>
        <v>0.2393529260612941</v>
      </c>
      <c r="M21" t="s">
        <v>13</v>
      </c>
      <c r="N21">
        <v>5</v>
      </c>
      <c r="P21">
        <v>1.1399999999999999</v>
      </c>
      <c r="Q21">
        <v>6000</v>
      </c>
      <c r="R21">
        <f t="shared" ref="R21:R22" si="4">P21*Q21</f>
        <v>6839.9999999999991</v>
      </c>
    </row>
    <row r="22" spans="1:18" ht="21.75" customHeight="1">
      <c r="A22" t="s">
        <v>19</v>
      </c>
      <c r="B22" s="1">
        <v>280</v>
      </c>
      <c r="C22">
        <v>22</v>
      </c>
      <c r="D22" s="4">
        <f>(1.7+0.15*2)*(5.08*2+4.08*2)</f>
        <v>36.64</v>
      </c>
      <c r="E22" s="3">
        <f t="shared" si="2"/>
        <v>466.32727272727271</v>
      </c>
      <c r="F22">
        <v>2</v>
      </c>
      <c r="G22" s="2">
        <f t="shared" si="0"/>
        <v>42.888334373050533</v>
      </c>
      <c r="H22" s="3">
        <v>6</v>
      </c>
      <c r="I22" s="2">
        <f t="shared" si="1"/>
        <v>2.8000000000000003</v>
      </c>
      <c r="J22">
        <v>0.16</v>
      </c>
      <c r="K22" s="2">
        <f t="shared" si="3"/>
        <v>0.20323513857703285</v>
      </c>
      <c r="M22" t="s">
        <v>14</v>
      </c>
      <c r="N22">
        <v>6</v>
      </c>
      <c r="P22">
        <v>1.06</v>
      </c>
      <c r="Q22">
        <v>6000</v>
      </c>
      <c r="R22">
        <f t="shared" si="4"/>
        <v>6360</v>
      </c>
    </row>
    <row r="23" spans="1:18">
      <c r="A23">
        <v>8332</v>
      </c>
      <c r="B23" s="1">
        <v>500</v>
      </c>
      <c r="C23">
        <v>2.54</v>
      </c>
      <c r="D23">
        <v>22</v>
      </c>
      <c r="E23" s="3">
        <f>B23/C23*D23</f>
        <v>4330.7086614173231</v>
      </c>
      <c r="F23">
        <v>3.5</v>
      </c>
      <c r="G23" s="2">
        <f t="shared" si="0"/>
        <v>8.081818181818182</v>
      </c>
      <c r="H23" s="3">
        <v>5</v>
      </c>
      <c r="I23" s="2">
        <f t="shared" si="1"/>
        <v>6</v>
      </c>
      <c r="J23">
        <v>0.25</v>
      </c>
      <c r="K23" s="2">
        <f t="shared" si="3"/>
        <v>0.12822772545449665</v>
      </c>
      <c r="R23">
        <f>SUM(R20:R22)</f>
        <v>15840</v>
      </c>
    </row>
    <row r="24" spans="1:18">
      <c r="B24" s="1">
        <v>500</v>
      </c>
      <c r="C24">
        <v>2</v>
      </c>
      <c r="D24">
        <f>(0.4+0.4)*2*8.3</f>
        <v>13.280000000000001</v>
      </c>
      <c r="E24" s="3">
        <f t="shared" si="2"/>
        <v>3320.0000000000005</v>
      </c>
      <c r="F24">
        <v>2.5</v>
      </c>
      <c r="G24" s="2">
        <f t="shared" si="0"/>
        <v>7.5301204819277103</v>
      </c>
      <c r="H24" s="3">
        <v>5</v>
      </c>
      <c r="I24" s="2">
        <f t="shared" si="1"/>
        <v>6</v>
      </c>
      <c r="J24">
        <v>0.25</v>
      </c>
      <c r="K24" s="2">
        <f t="shared" si="3"/>
        <v>0.11947438064966245</v>
      </c>
    </row>
    <row r="25" spans="1:18">
      <c r="B25" s="1">
        <v>650</v>
      </c>
      <c r="C25">
        <v>16</v>
      </c>
      <c r="D25">
        <f>3*0.25*8</f>
        <v>6</v>
      </c>
      <c r="E25" s="3">
        <f t="shared" ref="E25" si="5">B25/C25*D25</f>
        <v>243.75</v>
      </c>
      <c r="F25">
        <v>0.25</v>
      </c>
      <c r="G25" s="2">
        <f t="shared" ref="G25" si="6">F25/E25*10000</f>
        <v>10.256410256410257</v>
      </c>
      <c r="H25" s="3">
        <v>4</v>
      </c>
      <c r="I25" s="2">
        <f t="shared" ref="I25" si="7">B25/1000/H25*60</f>
        <v>9.75</v>
      </c>
      <c r="J25">
        <v>0.5</v>
      </c>
      <c r="K25" s="2">
        <f t="shared" ref="K25" si="8">G25*I25*J25*197/965/19.3/1</f>
        <v>0.52887325834250598</v>
      </c>
    </row>
    <row r="26" spans="1:18">
      <c r="B26" s="1">
        <v>800</v>
      </c>
      <c r="C26">
        <v>12</v>
      </c>
      <c r="D26">
        <v>240</v>
      </c>
      <c r="E26" s="3">
        <f t="shared" ref="E26:E27" si="9">B26/C26*D26</f>
        <v>16000.000000000002</v>
      </c>
      <c r="F26">
        <v>20</v>
      </c>
      <c r="G26" s="2">
        <f t="shared" ref="G26:G27" si="10">F26/E26*10000</f>
        <v>12.499999999999998</v>
      </c>
      <c r="H26" s="3">
        <v>5</v>
      </c>
      <c r="I26" s="2">
        <f t="shared" ref="I26:I27" si="11">B26/1000/H26*60</f>
        <v>9.6</v>
      </c>
      <c r="J26">
        <v>1.5</v>
      </c>
      <c r="K26" s="2">
        <f t="shared" ref="K26:K27" si="12">G26*I26*J26*197/965/19.3/1</f>
        <v>1.9039437300330204</v>
      </c>
    </row>
    <row r="27" spans="1:18">
      <c r="E27" s="3" t="e">
        <f t="shared" si="9"/>
        <v>#DIV/0!</v>
      </c>
      <c r="F27">
        <v>2.25</v>
      </c>
      <c r="G27" s="2" t="e">
        <f t="shared" si="10"/>
        <v>#DIV/0!</v>
      </c>
      <c r="H27" s="3">
        <v>6</v>
      </c>
      <c r="I27" s="2">
        <f t="shared" si="11"/>
        <v>0</v>
      </c>
      <c r="J27">
        <v>2.5</v>
      </c>
      <c r="K27" s="2" t="e">
        <f t="shared" si="12"/>
        <v>#DIV/0!</v>
      </c>
    </row>
    <row r="31" spans="1:18">
      <c r="G31">
        <f>20*12</f>
        <v>240</v>
      </c>
    </row>
    <row r="32" spans="1:18">
      <c r="D32">
        <f>(1.4+0.3)*2*(1.35+0.3+1.04+0.3)+4.05*2*(0.55+0.3)+(0.72+0.3)*2*2</f>
        <v>21.131</v>
      </c>
    </row>
  </sheetData>
  <phoneticPr fontId="1" type="noConversion"/>
  <pageMargins left="0.27559055118110237" right="0.19685039370078741" top="0.43307086614173229" bottom="0.74803149606299213" header="0.31496062992125984" footer="0.31496062992125984"/>
  <pageSetup paperSize="9" scale="70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Sn</vt:lpstr>
      <vt:lpstr>Ni</vt:lpstr>
      <vt:lpstr>Au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2025-10-16T11:00:51Z</dcterms:modified>
</cp:coreProperties>
</file>