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1"/>
  </bookViews>
  <sheets>
    <sheet name="Sheet1" sheetId="1" r:id="rId1"/>
    <sheet name="3" sheetId="4" r:id="rId2"/>
    <sheet name="4" sheetId="5" r:id="rId3"/>
    <sheet name="5" sheetId="6" r:id="rId4"/>
    <sheet name="6" sheetId="7" r:id="rId5"/>
    <sheet name="7" sheetId="8" r:id="rId6"/>
    <sheet name="8" sheetId="9" r:id="rId7"/>
    <sheet name="9" sheetId="10" r:id="rId8"/>
    <sheet name="10" sheetId="11" r:id="rId9"/>
    <sheet name="11" sheetId="12" r:id="rId10"/>
    <sheet name="12" sheetId="13" r:id="rId11"/>
    <sheet name="1" sheetId="14" r:id="rId12"/>
  </sheets>
  <calcPr calcId="124519"/>
</workbook>
</file>

<file path=xl/calcChain.xml><?xml version="1.0" encoding="utf-8"?>
<calcChain xmlns="http://schemas.openxmlformats.org/spreadsheetml/2006/main">
  <c r="G8" i="14"/>
  <c r="G6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F8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F6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E12"/>
  <c r="E10"/>
  <c r="E8"/>
  <c r="E6"/>
  <c r="AI12" i="13"/>
  <c r="AH12"/>
  <c r="AG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AH6"/>
  <c r="AG6"/>
  <c r="AF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C4"/>
  <c r="AB4"/>
  <c r="AA4"/>
  <c r="Z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AJ9" l="1"/>
  <c r="AK9" s="1"/>
  <c r="AJ11" i="14"/>
  <c r="AK11" s="1"/>
  <c r="AJ7" i="13"/>
  <c r="AK7" s="1"/>
  <c r="AJ11"/>
  <c r="AK11" s="1"/>
  <c r="AJ5" i="14"/>
  <c r="AK5" s="1"/>
  <c r="AJ3" i="13"/>
  <c r="AK3" s="1"/>
  <c r="AJ5"/>
  <c r="AK5" s="1"/>
  <c r="AJ7" i="14"/>
  <c r="AK7" s="1"/>
  <c r="AJ9"/>
  <c r="AK9" s="1"/>
  <c r="AJ3"/>
  <c r="AK3" s="1"/>
  <c r="K10" i="12"/>
  <c r="AI12"/>
  <c r="AH12"/>
  <c r="AG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J10"/>
  <c r="I10"/>
  <c r="H10"/>
  <c r="G10"/>
  <c r="F10"/>
  <c r="E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AH6"/>
  <c r="AG6"/>
  <c r="AF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C4"/>
  <c r="AB4"/>
  <c r="AA4"/>
  <c r="Z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K10" i="11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J10"/>
  <c r="E10"/>
  <c r="F10"/>
  <c r="G10"/>
  <c r="H10"/>
  <c r="I10"/>
  <c r="AI12"/>
  <c r="AH12"/>
  <c r="AG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AH6"/>
  <c r="AG6"/>
  <c r="AF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C4"/>
  <c r="AB4"/>
  <c r="AA4"/>
  <c r="Z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AI12" i="10"/>
  <c r="AH12"/>
  <c r="AG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AH6"/>
  <c r="AG6"/>
  <c r="AF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C4"/>
  <c r="AB4"/>
  <c r="AA4"/>
  <c r="Z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AI12" i="9"/>
  <c r="AH12"/>
  <c r="AG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AH6"/>
  <c r="AG6"/>
  <c r="AF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C4"/>
  <c r="AB4"/>
  <c r="AA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Z4"/>
  <c r="Z3" i="8"/>
  <c r="T19"/>
  <c r="AG12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F6"/>
  <c r="AG6"/>
  <c r="AH6"/>
  <c r="AI12"/>
  <c r="AH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H6"/>
  <c r="G6"/>
  <c r="F6"/>
  <c r="E6"/>
  <c r="AI4"/>
  <c r="AH4"/>
  <c r="AG4"/>
  <c r="AF4"/>
  <c r="AE4"/>
  <c r="AC4"/>
  <c r="AB4"/>
  <c r="AA4"/>
  <c r="Z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AD10" i="7"/>
  <c r="AI12"/>
  <c r="AH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AH6"/>
  <c r="AG6"/>
  <c r="AF6"/>
  <c r="AE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Q10" i="6"/>
  <c r="U4"/>
  <c r="M4"/>
  <c r="AI12"/>
  <c r="AH12"/>
  <c r="AG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P10"/>
  <c r="O10"/>
  <c r="N10"/>
  <c r="M10"/>
  <c r="L10"/>
  <c r="K10"/>
  <c r="J10"/>
  <c r="I10"/>
  <c r="H10"/>
  <c r="G10"/>
  <c r="F10"/>
  <c r="E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D4"/>
  <c r="AC4"/>
  <c r="AB4"/>
  <c r="AA4"/>
  <c r="Z4"/>
  <c r="Y4"/>
  <c r="X4"/>
  <c r="W4"/>
  <c r="V4"/>
  <c r="T4"/>
  <c r="S4"/>
  <c r="R4"/>
  <c r="Q4"/>
  <c r="P4"/>
  <c r="O4"/>
  <c r="N4"/>
  <c r="L4"/>
  <c r="K4"/>
  <c r="J4"/>
  <c r="I4"/>
  <c r="H4"/>
  <c r="G4"/>
  <c r="F4"/>
  <c r="E4"/>
  <c r="F8" i="5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I12"/>
  <c r="AH12"/>
  <c r="AG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E8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AI12" i="4"/>
  <c r="AH12"/>
  <c r="AG12"/>
  <c r="AF12"/>
  <c r="AE12"/>
  <c r="AD12"/>
  <c r="AC12"/>
  <c r="AB12"/>
  <c r="AA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E8" i="1"/>
  <c r="Z8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AA12"/>
  <c r="AB12"/>
  <c r="AC12"/>
  <c r="AD12"/>
  <c r="AE12"/>
  <c r="AF12"/>
  <c r="AG12"/>
  <c r="AH12"/>
  <c r="AI12"/>
  <c r="E12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E10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AA8"/>
  <c r="AB8"/>
  <c r="AC8"/>
  <c r="AD8"/>
  <c r="AE8"/>
  <c r="AF8"/>
  <c r="AG8"/>
  <c r="AH8"/>
  <c r="AI8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E6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F4"/>
  <c r="G4"/>
  <c r="H4"/>
  <c r="E4"/>
  <c r="AJ9" i="12" l="1"/>
  <c r="AK9" s="1"/>
  <c r="AJ11" i="10"/>
  <c r="AK11" s="1"/>
  <c r="AJ7"/>
  <c r="AK7" s="1"/>
  <c r="AJ9" i="11"/>
  <c r="AK9" s="1"/>
  <c r="AJ11" i="9"/>
  <c r="AK11" s="1"/>
  <c r="AJ7" i="6"/>
  <c r="AK7" s="1"/>
  <c r="AJ11"/>
  <c r="AK11" s="1"/>
  <c r="AJ5" i="5"/>
  <c r="AK5" s="1"/>
  <c r="AJ9"/>
  <c r="AK9" s="1"/>
  <c r="AJ9" i="7"/>
  <c r="AK9" s="1"/>
  <c r="AJ11" i="12"/>
  <c r="AK11" s="1"/>
  <c r="AJ3" i="11"/>
  <c r="AK3" s="1"/>
  <c r="AJ7"/>
  <c r="AK7" s="1"/>
  <c r="AJ11"/>
  <c r="AK11" s="1"/>
  <c r="AJ3" i="12"/>
  <c r="AK3" s="1"/>
  <c r="AJ7"/>
  <c r="AK7" s="1"/>
  <c r="AJ11" i="4"/>
  <c r="AK11" s="1"/>
  <c r="AJ5" i="11"/>
  <c r="AK5" s="1"/>
  <c r="AJ5" i="12"/>
  <c r="AK5" s="1"/>
  <c r="AJ3" i="4"/>
  <c r="AK3" s="1"/>
  <c r="AJ5" i="10"/>
  <c r="AK5" s="1"/>
  <c r="AJ9"/>
  <c r="AK9" s="1"/>
  <c r="AJ3"/>
  <c r="AK3" s="1"/>
  <c r="AJ5" i="9"/>
  <c r="AK5" s="1"/>
  <c r="AJ7"/>
  <c r="AK7" s="1"/>
  <c r="AJ9"/>
  <c r="AK9" s="1"/>
  <c r="AJ3"/>
  <c r="AK3" s="1"/>
  <c r="AJ5" i="6"/>
  <c r="AK5" s="1"/>
  <c r="AJ11" i="7"/>
  <c r="AK11" s="1"/>
  <c r="AJ7"/>
  <c r="AK7" s="1"/>
  <c r="AJ11" i="5"/>
  <c r="AK11" s="1"/>
  <c r="AJ5" i="7"/>
  <c r="AK5" s="1"/>
  <c r="AJ11" i="8"/>
  <c r="AK11" s="1"/>
  <c r="AJ5"/>
  <c r="AK5" s="1"/>
  <c r="AJ9"/>
  <c r="AK9" s="1"/>
  <c r="AJ7"/>
  <c r="AK7" s="1"/>
  <c r="AJ3"/>
  <c r="AK3" s="1"/>
  <c r="AJ3" i="7"/>
  <c r="AK3" s="1"/>
  <c r="AJ3" i="6"/>
  <c r="AK3" s="1"/>
  <c r="AJ9"/>
  <c r="AK9" s="1"/>
  <c r="AJ7" i="5"/>
  <c r="AK7" s="1"/>
  <c r="AJ3"/>
  <c r="AK3" s="1"/>
  <c r="AJ7" i="4"/>
  <c r="AK7" s="1"/>
  <c r="AJ9"/>
  <c r="AK9" s="1"/>
  <c r="AJ5"/>
  <c r="AK5" s="1"/>
  <c r="AJ11" i="1"/>
  <c r="AK11" s="1"/>
  <c r="AJ9"/>
  <c r="AK9" s="1"/>
  <c r="AJ7"/>
  <c r="AK7" s="1"/>
  <c r="AJ5"/>
  <c r="AK5" s="1"/>
  <c r="AJ3"/>
  <c r="AK3" s="1"/>
</calcChain>
</file>

<file path=xl/sharedStrings.xml><?xml version="1.0" encoding="utf-8"?>
<sst xmlns="http://schemas.openxmlformats.org/spreadsheetml/2006/main" count="300" uniqueCount="18">
  <si>
    <t>药水名称</t>
    <phoneticPr fontId="1" type="noConversion"/>
  </si>
  <si>
    <t>上月盘存</t>
    <phoneticPr fontId="1" type="noConversion"/>
  </si>
  <si>
    <t>浓度</t>
    <phoneticPr fontId="1" type="noConversion"/>
  </si>
  <si>
    <t>补加</t>
    <phoneticPr fontId="1" type="noConversion"/>
  </si>
  <si>
    <t>盘存</t>
    <phoneticPr fontId="1" type="noConversion"/>
  </si>
  <si>
    <t>合计</t>
    <phoneticPr fontId="1" type="noConversion"/>
  </si>
  <si>
    <t>最佳值</t>
    <phoneticPr fontId="1" type="noConversion"/>
  </si>
  <si>
    <t>9g/L</t>
    <phoneticPr fontId="1" type="noConversion"/>
  </si>
  <si>
    <t>镍BL-2R</t>
    <phoneticPr fontId="1" type="noConversion"/>
  </si>
  <si>
    <t>钨BL-2B</t>
    <phoneticPr fontId="1" type="noConversion"/>
  </si>
  <si>
    <t>51.7g/L</t>
    <phoneticPr fontId="1" type="noConversion"/>
  </si>
  <si>
    <t>络合BL-2S</t>
    <phoneticPr fontId="1" type="noConversion"/>
  </si>
  <si>
    <t>湿润BL-2D</t>
    <phoneticPr fontId="1" type="noConversion"/>
  </si>
  <si>
    <t>2.5ml/L</t>
    <phoneticPr fontId="1" type="noConversion"/>
  </si>
  <si>
    <t>光亮BL-2E</t>
    <phoneticPr fontId="1" type="noConversion"/>
  </si>
  <si>
    <t>2ml/L</t>
    <phoneticPr fontId="1" type="noConversion"/>
  </si>
  <si>
    <t>R2镍钨药水添加记录</t>
    <phoneticPr fontId="1" type="noConversion"/>
  </si>
  <si>
    <t>镍BL-2R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</si>
</sst>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F29" sqref="F29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" t="s">
        <v>0</v>
      </c>
      <c r="B2" s="1" t="s">
        <v>1</v>
      </c>
      <c r="C2" s="1" t="s">
        <v>6</v>
      </c>
      <c r="D2" s="1"/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 t="s">
        <v>5</v>
      </c>
      <c r="AK2" s="1" t="s">
        <v>4</v>
      </c>
    </row>
    <row r="3" spans="1:37" ht="24.75" customHeight="1">
      <c r="A3" s="19" t="s">
        <v>8</v>
      </c>
      <c r="B3" s="19"/>
      <c r="C3" s="19" t="s">
        <v>7</v>
      </c>
      <c r="D3" s="1" t="s">
        <v>2</v>
      </c>
      <c r="E3" s="2">
        <v>9</v>
      </c>
      <c r="F3" s="3">
        <v>9</v>
      </c>
      <c r="G3" s="3">
        <v>9</v>
      </c>
      <c r="H3" s="3">
        <v>9</v>
      </c>
      <c r="I3" s="3">
        <v>9</v>
      </c>
      <c r="J3" s="3">
        <v>9</v>
      </c>
      <c r="K3" s="3">
        <v>9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9</v>
      </c>
      <c r="T3" s="3">
        <v>9</v>
      </c>
      <c r="U3" s="3">
        <v>9</v>
      </c>
      <c r="V3" s="3">
        <v>8.4700000000000006</v>
      </c>
      <c r="W3" s="3">
        <v>9</v>
      </c>
      <c r="X3" s="3">
        <v>9</v>
      </c>
      <c r="Y3" s="3">
        <v>9</v>
      </c>
      <c r="Z3" s="3">
        <v>7.95</v>
      </c>
      <c r="AA3" s="3">
        <v>9</v>
      </c>
      <c r="AB3" s="3">
        <v>9</v>
      </c>
      <c r="AC3" s="3">
        <v>9</v>
      </c>
      <c r="AD3" s="3">
        <v>9</v>
      </c>
      <c r="AE3" s="3">
        <v>9</v>
      </c>
      <c r="AF3" s="3">
        <v>9</v>
      </c>
      <c r="AG3" s="3">
        <v>9</v>
      </c>
      <c r="AH3" s="3">
        <v>9</v>
      </c>
      <c r="AI3" s="4">
        <v>9</v>
      </c>
      <c r="AJ3" s="19">
        <f>SUM(E4:AI4)</f>
        <v>28.088888888888874</v>
      </c>
      <c r="AK3" s="19">
        <f>+B3-AJ3</f>
        <v>-28.088888888888874</v>
      </c>
    </row>
    <row r="4" spans="1:37" ht="24.75" customHeight="1">
      <c r="A4" s="19"/>
      <c r="B4" s="19"/>
      <c r="C4" s="19"/>
      <c r="D4" s="1" t="s">
        <v>3</v>
      </c>
      <c r="E4" s="5">
        <f>+(9-E3)*800/45</f>
        <v>0</v>
      </c>
      <c r="F4" s="6">
        <f t="shared" ref="F4:H4" si="0">+(9-F3)*800/45</f>
        <v>0</v>
      </c>
      <c r="G4" s="6">
        <f t="shared" si="0"/>
        <v>0</v>
      </c>
      <c r="H4" s="6">
        <f t="shared" si="0"/>
        <v>0</v>
      </c>
      <c r="I4" s="6">
        <f t="shared" ref="I4" si="1">+(9-I3)*800/45</f>
        <v>0</v>
      </c>
      <c r="J4" s="6">
        <f t="shared" ref="J4" si="2">+(9-J3)*800/45</f>
        <v>0</v>
      </c>
      <c r="K4" s="6">
        <f t="shared" ref="K4" si="3">+(9-K3)*800/45</f>
        <v>0</v>
      </c>
      <c r="L4" s="6">
        <f t="shared" ref="L4" si="4">+(9-L3)*800/45</f>
        <v>0</v>
      </c>
      <c r="M4" s="6">
        <f t="shared" ref="M4" si="5">+(9-M3)*800/45</f>
        <v>0</v>
      </c>
      <c r="N4" s="6">
        <f t="shared" ref="N4" si="6">+(9-N3)*800/45</f>
        <v>0</v>
      </c>
      <c r="O4" s="6">
        <f t="shared" ref="O4" si="7">+(9-O3)*800/45</f>
        <v>0</v>
      </c>
      <c r="P4" s="6">
        <f t="shared" ref="P4" si="8">+(9-P3)*800/45</f>
        <v>0</v>
      </c>
      <c r="Q4" s="6">
        <f t="shared" ref="Q4" si="9">+(9-Q3)*800/45</f>
        <v>0</v>
      </c>
      <c r="R4" s="6">
        <f t="shared" ref="R4" si="10">+(9-R3)*800/45</f>
        <v>0</v>
      </c>
      <c r="S4" s="6">
        <f t="shared" ref="S4" si="11">+(9-S3)*800/45</f>
        <v>0</v>
      </c>
      <c r="T4" s="6">
        <f t="shared" ref="T4" si="12">+(9-T3)*800/45</f>
        <v>0</v>
      </c>
      <c r="U4" s="6">
        <f t="shared" ref="U4" si="13">+(9-U3)*800/45</f>
        <v>0</v>
      </c>
      <c r="V4" s="6">
        <f t="shared" ref="V4" si="14">+(9-V3)*800/45</f>
        <v>9.4222222222222101</v>
      </c>
      <c r="W4" s="6">
        <f t="shared" ref="W4" si="15">+(9-W3)*800/45</f>
        <v>0</v>
      </c>
      <c r="X4" s="6">
        <f t="shared" ref="X4" si="16">+(9-X3)*800/45</f>
        <v>0</v>
      </c>
      <c r="Y4" s="6">
        <f t="shared" ref="Y4" si="17">+(9-Y3)*800/45</f>
        <v>0</v>
      </c>
      <c r="Z4" s="6">
        <f t="shared" ref="Z4" si="18">+(9-Z3)*800/45</f>
        <v>18.666666666666664</v>
      </c>
      <c r="AA4" s="6">
        <f t="shared" ref="AA4" si="19">+(9-AA3)*800/45</f>
        <v>0</v>
      </c>
      <c r="AB4" s="6">
        <f t="shared" ref="AB4" si="20">+(9-AB3)*800/45</f>
        <v>0</v>
      </c>
      <c r="AC4" s="6">
        <f t="shared" ref="AC4" si="21">+(9-AC3)*800/45</f>
        <v>0</v>
      </c>
      <c r="AD4" s="6">
        <f t="shared" ref="AD4" si="22">+(9-AD3)*800/45</f>
        <v>0</v>
      </c>
      <c r="AE4" s="6">
        <f t="shared" ref="AE4" si="23">+(9-AE3)*800/45</f>
        <v>0</v>
      </c>
      <c r="AF4" s="6">
        <f t="shared" ref="AF4" si="24">+(9-AF3)*800/45</f>
        <v>0</v>
      </c>
      <c r="AG4" s="6">
        <f t="shared" ref="AG4" si="25">+(9-AG3)*800/45</f>
        <v>0</v>
      </c>
      <c r="AH4" s="6">
        <f t="shared" ref="AH4" si="26">+(9-AH3)*800/45</f>
        <v>0</v>
      </c>
      <c r="AI4" s="7">
        <f t="shared" ref="AI4" si="27">+(9-AI3)*800/45</f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51.7</v>
      </c>
      <c r="J5" s="3">
        <v>51.7</v>
      </c>
      <c r="K5" s="3">
        <v>51.7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51.7</v>
      </c>
      <c r="R5" s="3">
        <v>51.7</v>
      </c>
      <c r="S5" s="3">
        <v>51.7</v>
      </c>
      <c r="T5" s="3">
        <v>51.7</v>
      </c>
      <c r="U5" s="3">
        <v>51.7</v>
      </c>
      <c r="V5" s="3">
        <v>61.36</v>
      </c>
      <c r="W5" s="3">
        <v>51.7</v>
      </c>
      <c r="X5" s="3">
        <v>51.7</v>
      </c>
      <c r="Y5" s="3">
        <v>51.7</v>
      </c>
      <c r="Z5" s="3">
        <v>51.7</v>
      </c>
      <c r="AA5" s="3">
        <v>51.7</v>
      </c>
      <c r="AB5" s="3">
        <v>51.7</v>
      </c>
      <c r="AC5" s="3">
        <v>51.7</v>
      </c>
      <c r="AD5" s="3">
        <v>51.7</v>
      </c>
      <c r="AE5" s="3">
        <v>51.7</v>
      </c>
      <c r="AF5" s="3">
        <v>51.7</v>
      </c>
      <c r="AG5" s="3">
        <v>51.7</v>
      </c>
      <c r="AH5" s="3">
        <v>51.7</v>
      </c>
      <c r="AI5" s="4">
        <v>51.7</v>
      </c>
      <c r="AJ5" s="19">
        <f>SUM(E6:AI6)</f>
        <v>-34.654708520179362</v>
      </c>
      <c r="AK5" s="19">
        <f>+B5-AJ5</f>
        <v>34.654708520179362</v>
      </c>
    </row>
    <row r="6" spans="1:37" ht="24.75" customHeight="1">
      <c r="A6" s="19"/>
      <c r="B6" s="19"/>
      <c r="C6" s="19"/>
      <c r="D6" s="1" t="s">
        <v>3</v>
      </c>
      <c r="E6" s="5">
        <f>+(51.7-E5)*800/223</f>
        <v>0</v>
      </c>
      <c r="F6" s="6">
        <f t="shared" ref="F6:AI6" si="28">+(51.7-F5)*800/223</f>
        <v>0</v>
      </c>
      <c r="G6" s="6">
        <f t="shared" si="28"/>
        <v>0</v>
      </c>
      <c r="H6" s="6">
        <f t="shared" si="28"/>
        <v>0</v>
      </c>
      <c r="I6" s="6">
        <f t="shared" si="28"/>
        <v>0</v>
      </c>
      <c r="J6" s="6">
        <f t="shared" si="28"/>
        <v>0</v>
      </c>
      <c r="K6" s="6">
        <f t="shared" si="28"/>
        <v>0</v>
      </c>
      <c r="L6" s="6">
        <f t="shared" si="28"/>
        <v>0</v>
      </c>
      <c r="M6" s="6">
        <f t="shared" si="28"/>
        <v>0</v>
      </c>
      <c r="N6" s="6">
        <f t="shared" si="28"/>
        <v>0</v>
      </c>
      <c r="O6" s="6">
        <f t="shared" si="28"/>
        <v>0</v>
      </c>
      <c r="P6" s="6">
        <f t="shared" si="28"/>
        <v>0</v>
      </c>
      <c r="Q6" s="6">
        <f t="shared" si="28"/>
        <v>0</v>
      </c>
      <c r="R6" s="6">
        <f t="shared" si="28"/>
        <v>0</v>
      </c>
      <c r="S6" s="6">
        <f t="shared" si="28"/>
        <v>0</v>
      </c>
      <c r="T6" s="6">
        <f t="shared" si="28"/>
        <v>0</v>
      </c>
      <c r="U6" s="6">
        <f t="shared" si="28"/>
        <v>0</v>
      </c>
      <c r="V6" s="6">
        <f t="shared" si="28"/>
        <v>-34.654708520179362</v>
      </c>
      <c r="W6" s="6">
        <f t="shared" si="28"/>
        <v>0</v>
      </c>
      <c r="X6" s="6">
        <f t="shared" si="28"/>
        <v>0</v>
      </c>
      <c r="Y6" s="6">
        <f t="shared" si="28"/>
        <v>0</v>
      </c>
      <c r="Z6" s="6">
        <f t="shared" si="28"/>
        <v>0</v>
      </c>
      <c r="AA6" s="6">
        <f t="shared" si="28"/>
        <v>0</v>
      </c>
      <c r="AB6" s="6">
        <f t="shared" si="28"/>
        <v>0</v>
      </c>
      <c r="AC6" s="6">
        <f t="shared" si="28"/>
        <v>0</v>
      </c>
      <c r="AD6" s="6">
        <f t="shared" si="28"/>
        <v>0</v>
      </c>
      <c r="AE6" s="6">
        <f t="shared" si="28"/>
        <v>0</v>
      </c>
      <c r="AF6" s="6">
        <f t="shared" si="28"/>
        <v>0</v>
      </c>
      <c r="AG6" s="6">
        <f t="shared" si="28"/>
        <v>0</v>
      </c>
      <c r="AH6" s="6">
        <f t="shared" si="28"/>
        <v>0</v>
      </c>
      <c r="AI6" s="7">
        <f t="shared" si="28"/>
        <v>0</v>
      </c>
      <c r="AJ6" s="19"/>
      <c r="AK6" s="19"/>
    </row>
    <row r="7" spans="1:37" ht="24.75" customHeight="1">
      <c r="A7" s="19" t="s">
        <v>11</v>
      </c>
      <c r="B7" s="19"/>
      <c r="C7" s="20">
        <v>1</v>
      </c>
      <c r="D7" s="1" t="s">
        <v>2</v>
      </c>
      <c r="E7" s="2">
        <v>95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  <c r="K7" s="3">
        <v>100</v>
      </c>
      <c r="L7" s="3">
        <v>100</v>
      </c>
      <c r="M7" s="3">
        <v>100</v>
      </c>
      <c r="N7" s="3">
        <v>100</v>
      </c>
      <c r="O7" s="3">
        <v>100</v>
      </c>
      <c r="P7" s="3">
        <v>100</v>
      </c>
      <c r="Q7" s="3">
        <v>100</v>
      </c>
      <c r="R7" s="3">
        <v>100</v>
      </c>
      <c r="S7" s="3">
        <v>100</v>
      </c>
      <c r="T7" s="3">
        <v>100</v>
      </c>
      <c r="U7" s="3">
        <v>100</v>
      </c>
      <c r="V7" s="3">
        <v>100</v>
      </c>
      <c r="W7" s="3">
        <v>100</v>
      </c>
      <c r="X7" s="3">
        <v>100</v>
      </c>
      <c r="Y7" s="3">
        <v>100</v>
      </c>
      <c r="Z7" s="3">
        <v>96</v>
      </c>
      <c r="AA7" s="3">
        <v>100</v>
      </c>
      <c r="AB7" s="3">
        <v>100</v>
      </c>
      <c r="AC7" s="3">
        <v>100</v>
      </c>
      <c r="AD7" s="3">
        <v>100</v>
      </c>
      <c r="AE7" s="3">
        <v>100</v>
      </c>
      <c r="AF7" s="3">
        <v>100</v>
      </c>
      <c r="AG7" s="3">
        <v>100</v>
      </c>
      <c r="AH7" s="3">
        <v>100</v>
      </c>
      <c r="AI7" s="4">
        <v>100</v>
      </c>
      <c r="AJ7" s="19">
        <f>SUM(E8:AI8)</f>
        <v>4.9612403100775193</v>
      </c>
      <c r="AK7" s="19">
        <f>+B7-AJ7</f>
        <v>-4.9612403100775193</v>
      </c>
    </row>
    <row r="8" spans="1:37" ht="24.75" customHeight="1">
      <c r="A8" s="19"/>
      <c r="B8" s="19"/>
      <c r="C8" s="19"/>
      <c r="D8" s="1" t="s">
        <v>3</v>
      </c>
      <c r="E8" s="5">
        <f>+(95-E7)*800/645</f>
        <v>0</v>
      </c>
      <c r="F8" s="6">
        <f t="shared" ref="F8:AI8" si="29">+(100-F7)*800/645</f>
        <v>0</v>
      </c>
      <c r="G8" s="6">
        <f t="shared" si="29"/>
        <v>0</v>
      </c>
      <c r="H8" s="6">
        <f t="shared" si="29"/>
        <v>0</v>
      </c>
      <c r="I8" s="6">
        <f t="shared" si="29"/>
        <v>0</v>
      </c>
      <c r="J8" s="6">
        <f t="shared" si="29"/>
        <v>0</v>
      </c>
      <c r="K8" s="6">
        <f t="shared" si="29"/>
        <v>0</v>
      </c>
      <c r="L8" s="6">
        <f t="shared" si="29"/>
        <v>0</v>
      </c>
      <c r="M8" s="6">
        <f t="shared" si="29"/>
        <v>0</v>
      </c>
      <c r="N8" s="6">
        <f t="shared" si="29"/>
        <v>0</v>
      </c>
      <c r="O8" s="6">
        <f t="shared" si="29"/>
        <v>0</v>
      </c>
      <c r="P8" s="6">
        <f t="shared" si="29"/>
        <v>0</v>
      </c>
      <c r="Q8" s="6">
        <f t="shared" si="29"/>
        <v>0</v>
      </c>
      <c r="R8" s="6">
        <f t="shared" si="29"/>
        <v>0</v>
      </c>
      <c r="S8" s="6">
        <f t="shared" si="29"/>
        <v>0</v>
      </c>
      <c r="T8" s="6">
        <f t="shared" si="29"/>
        <v>0</v>
      </c>
      <c r="U8" s="6">
        <f t="shared" si="29"/>
        <v>0</v>
      </c>
      <c r="V8" s="6">
        <f t="shared" si="29"/>
        <v>0</v>
      </c>
      <c r="W8" s="6">
        <f t="shared" si="29"/>
        <v>0</v>
      </c>
      <c r="X8" s="6">
        <f t="shared" si="29"/>
        <v>0</v>
      </c>
      <c r="Y8" s="6">
        <f t="shared" si="29"/>
        <v>0</v>
      </c>
      <c r="Z8" s="6">
        <f t="shared" si="29"/>
        <v>4.9612403100775193</v>
      </c>
      <c r="AA8" s="6">
        <f t="shared" si="29"/>
        <v>0</v>
      </c>
      <c r="AB8" s="6">
        <f t="shared" si="29"/>
        <v>0</v>
      </c>
      <c r="AC8" s="6">
        <f t="shared" si="29"/>
        <v>0</v>
      </c>
      <c r="AD8" s="6">
        <f t="shared" si="29"/>
        <v>0</v>
      </c>
      <c r="AE8" s="6">
        <f t="shared" si="29"/>
        <v>0</v>
      </c>
      <c r="AF8" s="6">
        <f t="shared" si="29"/>
        <v>0</v>
      </c>
      <c r="AG8" s="6">
        <f t="shared" si="29"/>
        <v>0</v>
      </c>
      <c r="AH8" s="6">
        <f t="shared" si="29"/>
        <v>0</v>
      </c>
      <c r="AI8" s="7">
        <f t="shared" si="29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" t="s">
        <v>2</v>
      </c>
      <c r="E9" s="2">
        <v>2.5</v>
      </c>
      <c r="F9" s="3">
        <v>2.5</v>
      </c>
      <c r="G9" s="3">
        <v>2.5</v>
      </c>
      <c r="H9" s="3">
        <v>2.5</v>
      </c>
      <c r="I9" s="3">
        <v>2.5</v>
      </c>
      <c r="J9" s="3">
        <v>2.5</v>
      </c>
      <c r="K9" s="3">
        <v>2.5</v>
      </c>
      <c r="L9" s="3">
        <v>2.5</v>
      </c>
      <c r="M9" s="3">
        <v>2.5</v>
      </c>
      <c r="N9" s="3">
        <v>2.5</v>
      </c>
      <c r="O9" s="3">
        <v>2.5</v>
      </c>
      <c r="P9" s="3">
        <v>2.5</v>
      </c>
      <c r="Q9" s="3">
        <v>2.5</v>
      </c>
      <c r="R9" s="3">
        <v>2.5</v>
      </c>
      <c r="S9" s="3">
        <v>2.5</v>
      </c>
      <c r="T9" s="3">
        <v>2.5</v>
      </c>
      <c r="U9" s="3">
        <v>2.5</v>
      </c>
      <c r="V9" s="3">
        <v>2.5</v>
      </c>
      <c r="W9" s="3">
        <v>2.5</v>
      </c>
      <c r="X9" s="3">
        <v>2.5</v>
      </c>
      <c r="Y9" s="3">
        <v>2.5</v>
      </c>
      <c r="Z9" s="3">
        <v>2.5</v>
      </c>
      <c r="AA9" s="3">
        <v>2.5</v>
      </c>
      <c r="AB9" s="3">
        <v>2.5</v>
      </c>
      <c r="AC9" s="3">
        <v>2.5</v>
      </c>
      <c r="AD9" s="3">
        <v>2.5</v>
      </c>
      <c r="AE9" s="3">
        <v>2.5</v>
      </c>
      <c r="AF9" s="3">
        <v>2.5</v>
      </c>
      <c r="AG9" s="3">
        <v>2.5</v>
      </c>
      <c r="AH9" s="3">
        <v>2.5</v>
      </c>
      <c r="AI9" s="4">
        <v>2.5</v>
      </c>
      <c r="AJ9" s="19">
        <f>SUM(E10:AI10)</f>
        <v>0</v>
      </c>
      <c r="AK9" s="19">
        <f>+B9-AJ9</f>
        <v>0</v>
      </c>
    </row>
    <row r="10" spans="1:37" ht="24.75" customHeight="1">
      <c r="A10" s="19"/>
      <c r="B10" s="19"/>
      <c r="C10" s="19"/>
      <c r="D10" s="1" t="s">
        <v>3</v>
      </c>
      <c r="E10" s="5">
        <f>+(2.5-E9)*800</f>
        <v>0</v>
      </c>
      <c r="F10" s="6">
        <f t="shared" ref="F10:AI10" si="30">+(2.5-F9)*800</f>
        <v>0</v>
      </c>
      <c r="G10" s="6">
        <f t="shared" si="30"/>
        <v>0</v>
      </c>
      <c r="H10" s="6">
        <f t="shared" si="30"/>
        <v>0</v>
      </c>
      <c r="I10" s="6">
        <f t="shared" si="30"/>
        <v>0</v>
      </c>
      <c r="J10" s="6">
        <f t="shared" si="30"/>
        <v>0</v>
      </c>
      <c r="K10" s="6">
        <f t="shared" si="30"/>
        <v>0</v>
      </c>
      <c r="L10" s="6">
        <f t="shared" si="30"/>
        <v>0</v>
      </c>
      <c r="M10" s="6">
        <f t="shared" si="30"/>
        <v>0</v>
      </c>
      <c r="N10" s="6">
        <f t="shared" si="30"/>
        <v>0</v>
      </c>
      <c r="O10" s="6">
        <f t="shared" si="30"/>
        <v>0</v>
      </c>
      <c r="P10" s="6">
        <f t="shared" si="30"/>
        <v>0</v>
      </c>
      <c r="Q10" s="6">
        <f t="shared" si="30"/>
        <v>0</v>
      </c>
      <c r="R10" s="6">
        <f t="shared" si="30"/>
        <v>0</v>
      </c>
      <c r="S10" s="6">
        <f t="shared" si="30"/>
        <v>0</v>
      </c>
      <c r="T10" s="6">
        <f t="shared" si="30"/>
        <v>0</v>
      </c>
      <c r="U10" s="6">
        <f t="shared" si="30"/>
        <v>0</v>
      </c>
      <c r="V10" s="6">
        <f t="shared" si="30"/>
        <v>0</v>
      </c>
      <c r="W10" s="6">
        <f t="shared" si="30"/>
        <v>0</v>
      </c>
      <c r="X10" s="6">
        <f t="shared" si="30"/>
        <v>0</v>
      </c>
      <c r="Y10" s="6">
        <f t="shared" si="30"/>
        <v>0</v>
      </c>
      <c r="Z10" s="6">
        <f t="shared" si="30"/>
        <v>0</v>
      </c>
      <c r="AA10" s="6">
        <f t="shared" si="30"/>
        <v>0</v>
      </c>
      <c r="AB10" s="6">
        <f t="shared" si="30"/>
        <v>0</v>
      </c>
      <c r="AC10" s="6">
        <f t="shared" si="30"/>
        <v>0</v>
      </c>
      <c r="AD10" s="6">
        <f t="shared" si="30"/>
        <v>0</v>
      </c>
      <c r="AE10" s="6">
        <f t="shared" si="30"/>
        <v>0</v>
      </c>
      <c r="AF10" s="6">
        <f t="shared" si="30"/>
        <v>0</v>
      </c>
      <c r="AG10" s="6">
        <f t="shared" si="30"/>
        <v>0</v>
      </c>
      <c r="AH10" s="6">
        <f t="shared" si="30"/>
        <v>0</v>
      </c>
      <c r="AI10" s="7">
        <f t="shared" si="30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300</v>
      </c>
      <c r="AK11" s="19">
        <f>+B11-AJ11</f>
        <v>-300</v>
      </c>
    </row>
    <row r="12" spans="1:37" ht="24.75" customHeight="1">
      <c r="A12" s="19"/>
      <c r="B12" s="19"/>
      <c r="C12" s="19"/>
      <c r="D12" s="1" t="s">
        <v>3</v>
      </c>
      <c r="E12" s="5">
        <f>+(2-E11)*800</f>
        <v>0</v>
      </c>
      <c r="F12" s="6">
        <f t="shared" ref="F12:AI12" si="31">+(2-F11)*800</f>
        <v>0</v>
      </c>
      <c r="G12" s="6">
        <f t="shared" si="31"/>
        <v>0</v>
      </c>
      <c r="H12" s="6">
        <f t="shared" si="31"/>
        <v>0</v>
      </c>
      <c r="I12" s="6">
        <f t="shared" si="31"/>
        <v>0</v>
      </c>
      <c r="J12" s="6">
        <f t="shared" si="31"/>
        <v>0</v>
      </c>
      <c r="K12" s="6">
        <f t="shared" si="31"/>
        <v>0</v>
      </c>
      <c r="L12" s="6">
        <f t="shared" si="31"/>
        <v>0</v>
      </c>
      <c r="M12" s="6">
        <f t="shared" si="31"/>
        <v>0</v>
      </c>
      <c r="N12" s="6">
        <f t="shared" si="31"/>
        <v>0</v>
      </c>
      <c r="O12" s="6">
        <f t="shared" si="31"/>
        <v>0</v>
      </c>
      <c r="P12" s="6">
        <f t="shared" si="31"/>
        <v>0</v>
      </c>
      <c r="Q12" s="6">
        <f t="shared" si="31"/>
        <v>0</v>
      </c>
      <c r="R12" s="6">
        <f t="shared" si="31"/>
        <v>0</v>
      </c>
      <c r="S12" s="6">
        <f t="shared" si="31"/>
        <v>0</v>
      </c>
      <c r="T12" s="6">
        <f t="shared" si="31"/>
        <v>0</v>
      </c>
      <c r="U12" s="6">
        <f t="shared" si="31"/>
        <v>0</v>
      </c>
      <c r="V12" s="6">
        <f t="shared" si="31"/>
        <v>0</v>
      </c>
      <c r="W12" s="6">
        <f t="shared" si="31"/>
        <v>0</v>
      </c>
      <c r="X12" s="6">
        <f t="shared" si="31"/>
        <v>0</v>
      </c>
      <c r="Y12" s="6">
        <f t="shared" si="31"/>
        <v>0</v>
      </c>
      <c r="Z12" s="6">
        <v>300</v>
      </c>
      <c r="AA12" s="6">
        <f t="shared" si="31"/>
        <v>0</v>
      </c>
      <c r="AB12" s="6">
        <f t="shared" si="31"/>
        <v>0</v>
      </c>
      <c r="AC12" s="6">
        <f t="shared" si="31"/>
        <v>0</v>
      </c>
      <c r="AD12" s="6">
        <f t="shared" si="31"/>
        <v>0</v>
      </c>
      <c r="AE12" s="6">
        <f t="shared" si="31"/>
        <v>0</v>
      </c>
      <c r="AF12" s="6">
        <f t="shared" si="31"/>
        <v>0</v>
      </c>
      <c r="AG12" s="6">
        <f t="shared" si="31"/>
        <v>0</v>
      </c>
      <c r="AH12" s="6">
        <f t="shared" si="31"/>
        <v>0</v>
      </c>
      <c r="AI12" s="7">
        <f t="shared" si="31"/>
        <v>0</v>
      </c>
      <c r="AJ12" s="19"/>
      <c r="AK12" s="19"/>
    </row>
  </sheetData>
  <mergeCells count="26">
    <mergeCell ref="A9:A10"/>
    <mergeCell ref="B9:B10"/>
    <mergeCell ref="C9:C10"/>
    <mergeCell ref="AJ9:AJ10"/>
    <mergeCell ref="AK9:AK10"/>
    <mergeCell ref="A1:AK1"/>
    <mergeCell ref="A7:A8"/>
    <mergeCell ref="B7:B8"/>
    <mergeCell ref="C7:C8"/>
    <mergeCell ref="AJ7:AJ8"/>
    <mergeCell ref="AK7:AK8"/>
    <mergeCell ref="B3:B4"/>
    <mergeCell ref="A3:A4"/>
    <mergeCell ref="C3:C4"/>
    <mergeCell ref="AJ3:AJ4"/>
    <mergeCell ref="AK3:AK4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Z13" sqref="Z13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8" t="s">
        <v>0</v>
      </c>
      <c r="B2" s="8" t="s">
        <v>1</v>
      </c>
      <c r="C2" s="8" t="s">
        <v>6</v>
      </c>
      <c r="D2" s="8"/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>
        <v>9</v>
      </c>
      <c r="N2" s="8">
        <v>10</v>
      </c>
      <c r="O2" s="8">
        <v>11</v>
      </c>
      <c r="P2" s="8">
        <v>12</v>
      </c>
      <c r="Q2" s="8">
        <v>13</v>
      </c>
      <c r="R2" s="8">
        <v>14</v>
      </c>
      <c r="S2" s="8">
        <v>15</v>
      </c>
      <c r="T2" s="8">
        <v>16</v>
      </c>
      <c r="U2" s="8">
        <v>17</v>
      </c>
      <c r="V2" s="8">
        <v>18</v>
      </c>
      <c r="W2" s="8">
        <v>19</v>
      </c>
      <c r="X2" s="8">
        <v>20</v>
      </c>
      <c r="Y2" s="8">
        <v>21</v>
      </c>
      <c r="Z2" s="8">
        <v>22</v>
      </c>
      <c r="AA2" s="8">
        <v>23</v>
      </c>
      <c r="AB2" s="8">
        <v>24</v>
      </c>
      <c r="AC2" s="8">
        <v>25</v>
      </c>
      <c r="AD2" s="8">
        <v>26</v>
      </c>
      <c r="AE2" s="8">
        <v>27</v>
      </c>
      <c r="AF2" s="8">
        <v>28</v>
      </c>
      <c r="AG2" s="8">
        <v>29</v>
      </c>
      <c r="AH2" s="8">
        <v>30</v>
      </c>
      <c r="AI2" s="8">
        <v>31</v>
      </c>
      <c r="AJ2" s="8" t="s">
        <v>5</v>
      </c>
      <c r="AK2" s="8" t="s">
        <v>4</v>
      </c>
    </row>
    <row r="3" spans="1:37" ht="24.75" customHeight="1">
      <c r="A3" s="19" t="s">
        <v>8</v>
      </c>
      <c r="B3" s="19"/>
      <c r="C3" s="19" t="s">
        <v>7</v>
      </c>
      <c r="D3" s="8" t="s">
        <v>2</v>
      </c>
      <c r="E3" s="2">
        <v>9</v>
      </c>
      <c r="F3" s="3">
        <v>9</v>
      </c>
      <c r="G3" s="3">
        <v>9</v>
      </c>
      <c r="H3" s="3">
        <v>9</v>
      </c>
      <c r="I3" s="3">
        <v>9</v>
      </c>
      <c r="J3" s="3">
        <v>9</v>
      </c>
      <c r="K3" s="3">
        <v>6.64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9</v>
      </c>
      <c r="T3" s="3">
        <v>9</v>
      </c>
      <c r="U3" s="3">
        <v>9</v>
      </c>
      <c r="V3" s="3">
        <v>7.55</v>
      </c>
      <c r="W3" s="3">
        <v>9</v>
      </c>
      <c r="X3" s="3">
        <v>9</v>
      </c>
      <c r="Y3" s="3">
        <v>9</v>
      </c>
      <c r="Z3" s="3">
        <v>9</v>
      </c>
      <c r="AA3" s="3">
        <v>9</v>
      </c>
      <c r="AB3" s="3">
        <v>9</v>
      </c>
      <c r="AC3" s="3">
        <v>9</v>
      </c>
      <c r="AD3" s="3">
        <v>9</v>
      </c>
      <c r="AE3" s="3">
        <v>9</v>
      </c>
      <c r="AF3" s="3">
        <v>9</v>
      </c>
      <c r="AG3" s="3">
        <v>9</v>
      </c>
      <c r="AH3" s="3">
        <v>9</v>
      </c>
      <c r="AI3" s="4">
        <v>9</v>
      </c>
      <c r="AJ3" s="19">
        <f>SUM(E4:AI4)</f>
        <v>67.733333333333348</v>
      </c>
      <c r="AK3" s="19">
        <f>+B3-AJ3</f>
        <v>-67.733333333333348</v>
      </c>
    </row>
    <row r="4" spans="1:37" ht="24.75" customHeight="1">
      <c r="A4" s="19"/>
      <c r="B4" s="19"/>
      <c r="C4" s="19"/>
      <c r="D4" s="8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6">
        <f t="shared" si="0"/>
        <v>41.955555555555563</v>
      </c>
      <c r="L4" s="6">
        <f t="shared" si="0"/>
        <v>0</v>
      </c>
      <c r="M4" s="6">
        <f t="shared" si="0"/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25.777777777777782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f t="shared" si="0"/>
        <v>0</v>
      </c>
      <c r="AE4" s="6">
        <f t="shared" si="0"/>
        <v>0</v>
      </c>
      <c r="AF4" s="6">
        <f t="shared" si="0"/>
        <v>0</v>
      </c>
      <c r="AG4" s="6">
        <f t="shared" si="0"/>
        <v>0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8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51.7</v>
      </c>
      <c r="J5" s="3">
        <v>51.7</v>
      </c>
      <c r="K5" s="3">
        <v>43.3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51.7</v>
      </c>
      <c r="R5" s="3">
        <v>51.7</v>
      </c>
      <c r="S5" s="3">
        <v>51.7</v>
      </c>
      <c r="T5" s="3">
        <v>51.7</v>
      </c>
      <c r="U5" s="3">
        <v>51.7</v>
      </c>
      <c r="V5" s="3">
        <v>44.91</v>
      </c>
      <c r="W5" s="3">
        <v>51.7</v>
      </c>
      <c r="X5" s="3">
        <v>51.7</v>
      </c>
      <c r="Y5" s="3">
        <v>51.7</v>
      </c>
      <c r="Z5" s="3">
        <v>51.7</v>
      </c>
      <c r="AA5" s="3">
        <v>51.7</v>
      </c>
      <c r="AB5" s="3">
        <v>51.7</v>
      </c>
      <c r="AC5" s="3">
        <v>51.7</v>
      </c>
      <c r="AD5" s="3">
        <v>51.7</v>
      </c>
      <c r="AE5" s="3">
        <v>51.7</v>
      </c>
      <c r="AF5" s="3">
        <v>51.7</v>
      </c>
      <c r="AG5" s="3">
        <v>51.7</v>
      </c>
      <c r="AH5" s="3">
        <v>51.7</v>
      </c>
      <c r="AI5" s="4">
        <v>51.7</v>
      </c>
      <c r="AJ5" s="19">
        <f>SUM(E6:AI6)</f>
        <v>54.493273542600946</v>
      </c>
      <c r="AK5" s="19">
        <f>+B5-AJ5</f>
        <v>-54.493273542600946</v>
      </c>
    </row>
    <row r="6" spans="1:37" ht="24.75" customHeight="1">
      <c r="A6" s="19"/>
      <c r="B6" s="19"/>
      <c r="C6" s="19"/>
      <c r="D6" s="8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0</v>
      </c>
      <c r="J6" s="6">
        <f t="shared" si="1"/>
        <v>0</v>
      </c>
      <c r="K6" s="6">
        <f t="shared" si="1"/>
        <v>30.134529147982082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24.35874439461886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0</v>
      </c>
      <c r="AA6" s="6">
        <f t="shared" si="1"/>
        <v>0</v>
      </c>
      <c r="AB6" s="6">
        <f t="shared" si="1"/>
        <v>0</v>
      </c>
      <c r="AC6" s="6">
        <f t="shared" si="1"/>
        <v>0</v>
      </c>
      <c r="AD6" s="6">
        <f t="shared" si="1"/>
        <v>0</v>
      </c>
      <c r="AE6" s="6">
        <f t="shared" si="1"/>
        <v>0</v>
      </c>
      <c r="AF6" s="6">
        <f t="shared" si="1"/>
        <v>0</v>
      </c>
      <c r="AG6" s="6">
        <f t="shared" si="1"/>
        <v>0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1</v>
      </c>
      <c r="D7" s="8" t="s">
        <v>2</v>
      </c>
      <c r="E7" s="2">
        <v>95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  <c r="K7" s="3">
        <v>80.59</v>
      </c>
      <c r="L7" s="3">
        <v>100</v>
      </c>
      <c r="M7" s="3">
        <v>100</v>
      </c>
      <c r="N7" s="3">
        <v>100</v>
      </c>
      <c r="O7" s="3">
        <v>100</v>
      </c>
      <c r="P7" s="3">
        <v>100</v>
      </c>
      <c r="Q7" s="3">
        <v>100</v>
      </c>
      <c r="R7" s="3">
        <v>100</v>
      </c>
      <c r="S7" s="3">
        <v>100</v>
      </c>
      <c r="T7" s="3">
        <v>100</v>
      </c>
      <c r="U7" s="3">
        <v>100</v>
      </c>
      <c r="V7" s="3">
        <v>91.33</v>
      </c>
      <c r="W7" s="3">
        <v>100</v>
      </c>
      <c r="X7" s="3">
        <v>100</v>
      </c>
      <c r="Y7" s="3">
        <v>100</v>
      </c>
      <c r="Z7" s="3">
        <v>96</v>
      </c>
      <c r="AA7" s="3">
        <v>100</v>
      </c>
      <c r="AB7" s="3">
        <v>100</v>
      </c>
      <c r="AC7" s="3">
        <v>100</v>
      </c>
      <c r="AD7" s="3">
        <v>100</v>
      </c>
      <c r="AE7" s="3">
        <v>100</v>
      </c>
      <c r="AF7" s="3">
        <v>100</v>
      </c>
      <c r="AG7" s="3">
        <v>100</v>
      </c>
      <c r="AH7" s="3">
        <v>100</v>
      </c>
      <c r="AI7" s="4">
        <v>100</v>
      </c>
      <c r="AJ7" s="19">
        <f>SUM(E8:AI8)</f>
        <v>39.789147286821702</v>
      </c>
      <c r="AK7" s="19">
        <f>+B7-AJ7</f>
        <v>-39.789147286821702</v>
      </c>
    </row>
    <row r="8" spans="1:37" ht="24.75" customHeight="1">
      <c r="A8" s="19"/>
      <c r="B8" s="19"/>
      <c r="C8" s="19"/>
      <c r="D8" s="8" t="s">
        <v>3</v>
      </c>
      <c r="E8" s="5">
        <f>+(95-E7)*800/645</f>
        <v>0</v>
      </c>
      <c r="F8" s="6">
        <f t="shared" ref="F8:AI8" si="2">+(100-F7)*800/645</f>
        <v>0</v>
      </c>
      <c r="G8" s="6">
        <f t="shared" si="2"/>
        <v>0</v>
      </c>
      <c r="H8" s="6">
        <f t="shared" si="2"/>
        <v>0</v>
      </c>
      <c r="I8" s="6">
        <f t="shared" si="2"/>
        <v>0</v>
      </c>
      <c r="J8" s="6">
        <f t="shared" si="2"/>
        <v>0</v>
      </c>
      <c r="K8" s="6">
        <f t="shared" si="2"/>
        <v>24.074418604651157</v>
      </c>
      <c r="L8" s="6">
        <f t="shared" si="2"/>
        <v>0</v>
      </c>
      <c r="M8" s="6">
        <f t="shared" si="2"/>
        <v>0</v>
      </c>
      <c r="N8" s="6">
        <f t="shared" si="2"/>
        <v>0</v>
      </c>
      <c r="O8" s="6">
        <f t="shared" si="2"/>
        <v>0</v>
      </c>
      <c r="P8" s="6">
        <f t="shared" si="2"/>
        <v>0</v>
      </c>
      <c r="Q8" s="6">
        <f t="shared" si="2"/>
        <v>0</v>
      </c>
      <c r="R8" s="6">
        <f t="shared" si="2"/>
        <v>0</v>
      </c>
      <c r="S8" s="6">
        <f t="shared" si="2"/>
        <v>0</v>
      </c>
      <c r="T8" s="6">
        <f t="shared" si="2"/>
        <v>0</v>
      </c>
      <c r="U8" s="6">
        <f t="shared" si="2"/>
        <v>0</v>
      </c>
      <c r="V8" s="6">
        <f t="shared" si="2"/>
        <v>10.753488372093026</v>
      </c>
      <c r="W8" s="6">
        <f t="shared" si="2"/>
        <v>0</v>
      </c>
      <c r="X8" s="6">
        <f t="shared" si="2"/>
        <v>0</v>
      </c>
      <c r="Y8" s="6">
        <f t="shared" si="2"/>
        <v>0</v>
      </c>
      <c r="Z8" s="6">
        <f t="shared" si="2"/>
        <v>4.9612403100775193</v>
      </c>
      <c r="AA8" s="6">
        <f t="shared" si="2"/>
        <v>0</v>
      </c>
      <c r="AB8" s="6">
        <f t="shared" si="2"/>
        <v>0</v>
      </c>
      <c r="AC8" s="6">
        <f t="shared" si="2"/>
        <v>0</v>
      </c>
      <c r="AD8" s="6">
        <f t="shared" si="2"/>
        <v>0</v>
      </c>
      <c r="AE8" s="6">
        <f t="shared" si="2"/>
        <v>0</v>
      </c>
      <c r="AF8" s="6">
        <f t="shared" si="2"/>
        <v>0</v>
      </c>
      <c r="AG8" s="6">
        <f t="shared" si="2"/>
        <v>0</v>
      </c>
      <c r="AH8" s="6">
        <f t="shared" si="2"/>
        <v>0</v>
      </c>
      <c r="AI8" s="7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8" t="s">
        <v>2</v>
      </c>
      <c r="E9" s="2">
        <v>2.5</v>
      </c>
      <c r="F9" s="3">
        <v>2.5</v>
      </c>
      <c r="G9" s="3">
        <v>2.5</v>
      </c>
      <c r="H9" s="3">
        <v>2.5</v>
      </c>
      <c r="I9" s="3">
        <v>2.5</v>
      </c>
      <c r="J9" s="3">
        <v>2.5</v>
      </c>
      <c r="K9" s="3">
        <v>1.53</v>
      </c>
      <c r="L9" s="3">
        <v>2.5</v>
      </c>
      <c r="M9" s="3">
        <v>2.5</v>
      </c>
      <c r="N9" s="3">
        <v>2.5</v>
      </c>
      <c r="O9" s="3">
        <v>2.5</v>
      </c>
      <c r="P9" s="3">
        <v>2.5</v>
      </c>
      <c r="Q9" s="3">
        <v>2.5</v>
      </c>
      <c r="R9" s="3">
        <v>2.5</v>
      </c>
      <c r="S9" s="3">
        <v>2.5</v>
      </c>
      <c r="T9" s="3">
        <v>2.5</v>
      </c>
      <c r="U9" s="3">
        <v>2.5</v>
      </c>
      <c r="V9" s="3">
        <v>1.1100000000000001</v>
      </c>
      <c r="W9" s="3">
        <v>2.5</v>
      </c>
      <c r="X9" s="3">
        <v>2.5</v>
      </c>
      <c r="Y9" s="3">
        <v>2.5</v>
      </c>
      <c r="Z9" s="3">
        <v>2.5</v>
      </c>
      <c r="AA9" s="3">
        <v>2.5</v>
      </c>
      <c r="AB9" s="3">
        <v>2.5</v>
      </c>
      <c r="AC9" s="3">
        <v>2.5</v>
      </c>
      <c r="AD9" s="3">
        <v>2.5</v>
      </c>
      <c r="AE9" s="3">
        <v>2.5</v>
      </c>
      <c r="AF9" s="3">
        <v>2.5</v>
      </c>
      <c r="AG9" s="3">
        <v>2.5</v>
      </c>
      <c r="AH9" s="3">
        <v>2.5</v>
      </c>
      <c r="AI9" s="4">
        <v>2.5</v>
      </c>
      <c r="AJ9" s="19">
        <f>SUM(E10:AI10)</f>
        <v>1888</v>
      </c>
      <c r="AK9" s="19">
        <f>+B9-AJ9</f>
        <v>-1888</v>
      </c>
    </row>
    <row r="10" spans="1:37" ht="24.75" customHeight="1">
      <c r="A10" s="19"/>
      <c r="B10" s="19"/>
      <c r="C10" s="19"/>
      <c r="D10" s="8" t="s">
        <v>3</v>
      </c>
      <c r="E10" s="5">
        <f>+(2.5-E9)*800</f>
        <v>0</v>
      </c>
      <c r="F10" s="6">
        <f t="shared" ref="F10:AI10" si="3">+(2.5-F9)*800</f>
        <v>0</v>
      </c>
      <c r="G10" s="6">
        <f t="shared" si="3"/>
        <v>0</v>
      </c>
      <c r="H10" s="6">
        <f t="shared" si="3"/>
        <v>0</v>
      </c>
      <c r="I10" s="6">
        <f t="shared" si="3"/>
        <v>0</v>
      </c>
      <c r="J10" s="6">
        <f t="shared" si="3"/>
        <v>0</v>
      </c>
      <c r="K10" s="6">
        <f t="shared" si="3"/>
        <v>776</v>
      </c>
      <c r="L10" s="6">
        <f t="shared" si="3"/>
        <v>0</v>
      </c>
      <c r="M10" s="6">
        <f t="shared" si="3"/>
        <v>0</v>
      </c>
      <c r="N10" s="6">
        <f t="shared" si="3"/>
        <v>0</v>
      </c>
      <c r="O10" s="6">
        <f t="shared" si="3"/>
        <v>0</v>
      </c>
      <c r="P10" s="6">
        <f t="shared" si="3"/>
        <v>0</v>
      </c>
      <c r="Q10" s="6">
        <f t="shared" si="3"/>
        <v>0</v>
      </c>
      <c r="R10" s="6">
        <f t="shared" si="3"/>
        <v>0</v>
      </c>
      <c r="S10" s="6">
        <f t="shared" si="3"/>
        <v>0</v>
      </c>
      <c r="T10" s="6">
        <f t="shared" si="3"/>
        <v>0</v>
      </c>
      <c r="U10" s="6">
        <f t="shared" si="3"/>
        <v>0</v>
      </c>
      <c r="V10" s="6">
        <f t="shared" si="3"/>
        <v>1112</v>
      </c>
      <c r="W10" s="6">
        <f t="shared" si="3"/>
        <v>0</v>
      </c>
      <c r="X10" s="6">
        <f t="shared" si="3"/>
        <v>0</v>
      </c>
      <c r="Y10" s="6">
        <f t="shared" si="3"/>
        <v>0</v>
      </c>
      <c r="Z10" s="6">
        <f t="shared" si="3"/>
        <v>0</v>
      </c>
      <c r="AA10" s="6">
        <f t="shared" si="3"/>
        <v>0</v>
      </c>
      <c r="AB10" s="6">
        <f t="shared" si="3"/>
        <v>0</v>
      </c>
      <c r="AC10" s="6">
        <f t="shared" si="3"/>
        <v>0</v>
      </c>
      <c r="AD10" s="6">
        <f t="shared" si="3"/>
        <v>0</v>
      </c>
      <c r="AE10" s="6">
        <f t="shared" si="3"/>
        <v>0</v>
      </c>
      <c r="AF10" s="6">
        <f t="shared" si="3"/>
        <v>0</v>
      </c>
      <c r="AG10" s="6">
        <f t="shared" si="3"/>
        <v>0</v>
      </c>
      <c r="AH10" s="6">
        <f t="shared" si="3"/>
        <v>0</v>
      </c>
      <c r="AI10" s="7">
        <f t="shared" si="3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8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8" t="s">
        <v>3</v>
      </c>
      <c r="E12" s="5">
        <f>+(2-E11)*800</f>
        <v>0</v>
      </c>
      <c r="F12" s="6">
        <f t="shared" ref="F12:AI12" si="4">+(2-F11)*800</f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0</v>
      </c>
      <c r="Z12" s="6"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0</v>
      </c>
      <c r="AE12" s="6">
        <f t="shared" si="4"/>
        <v>0</v>
      </c>
      <c r="AF12" s="6">
        <f t="shared" si="4"/>
        <v>0</v>
      </c>
      <c r="AG12" s="6">
        <f t="shared" si="4"/>
        <v>0</v>
      </c>
      <c r="AH12" s="6">
        <f t="shared" si="4"/>
        <v>0</v>
      </c>
      <c r="AI12" s="7">
        <f t="shared" si="4"/>
        <v>0</v>
      </c>
      <c r="AJ12" s="19"/>
      <c r="AK12" s="19"/>
    </row>
  </sheetData>
  <mergeCells count="26">
    <mergeCell ref="A9:A10"/>
    <mergeCell ref="B9:B10"/>
    <mergeCell ref="C9:C10"/>
    <mergeCell ref="AJ9:AJ10"/>
    <mergeCell ref="AK9:AK10"/>
    <mergeCell ref="A11:A12"/>
    <mergeCell ref="B11:B12"/>
    <mergeCell ref="C11:C12"/>
    <mergeCell ref="AJ11:AJ12"/>
    <mergeCell ref="AK11:AK12"/>
    <mergeCell ref="A5:A6"/>
    <mergeCell ref="B5:B6"/>
    <mergeCell ref="C5:C6"/>
    <mergeCell ref="AJ5:AJ6"/>
    <mergeCell ref="AK5:AK6"/>
    <mergeCell ref="A7:A8"/>
    <mergeCell ref="B7:B8"/>
    <mergeCell ref="C7:C8"/>
    <mergeCell ref="AJ7:AJ8"/>
    <mergeCell ref="AK7:AK8"/>
    <mergeCell ref="A1:AK1"/>
    <mergeCell ref="A3:A4"/>
    <mergeCell ref="B3:B4"/>
    <mergeCell ref="C3:C4"/>
    <mergeCell ref="AJ3:AJ4"/>
    <mergeCell ref="AK3:AK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AF8" sqref="AF8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9" t="s">
        <v>0</v>
      </c>
      <c r="B2" s="9" t="s">
        <v>1</v>
      </c>
      <c r="C2" s="9" t="s">
        <v>6</v>
      </c>
      <c r="D2" s="9"/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  <c r="L2" s="9">
        <v>8</v>
      </c>
      <c r="M2" s="9">
        <v>9</v>
      </c>
      <c r="N2" s="9">
        <v>10</v>
      </c>
      <c r="O2" s="9">
        <v>11</v>
      </c>
      <c r="P2" s="9">
        <v>12</v>
      </c>
      <c r="Q2" s="9">
        <v>13</v>
      </c>
      <c r="R2" s="9">
        <v>14</v>
      </c>
      <c r="S2" s="9">
        <v>15</v>
      </c>
      <c r="T2" s="9">
        <v>16</v>
      </c>
      <c r="U2" s="9">
        <v>17</v>
      </c>
      <c r="V2" s="9">
        <v>18</v>
      </c>
      <c r="W2" s="9">
        <v>19</v>
      </c>
      <c r="X2" s="9">
        <v>20</v>
      </c>
      <c r="Y2" s="9">
        <v>21</v>
      </c>
      <c r="Z2" s="9">
        <v>22</v>
      </c>
      <c r="AA2" s="9">
        <v>23</v>
      </c>
      <c r="AB2" s="9">
        <v>24</v>
      </c>
      <c r="AC2" s="9">
        <v>25</v>
      </c>
      <c r="AD2" s="9">
        <v>26</v>
      </c>
      <c r="AE2" s="9">
        <v>27</v>
      </c>
      <c r="AF2" s="9">
        <v>28</v>
      </c>
      <c r="AG2" s="9">
        <v>29</v>
      </c>
      <c r="AH2" s="9">
        <v>30</v>
      </c>
      <c r="AI2" s="9">
        <v>31</v>
      </c>
      <c r="AJ2" s="9" t="s">
        <v>5</v>
      </c>
      <c r="AK2" s="9" t="s">
        <v>4</v>
      </c>
    </row>
    <row r="3" spans="1:37" ht="24.75" customHeight="1">
      <c r="A3" s="19" t="s">
        <v>8</v>
      </c>
      <c r="B3" s="19"/>
      <c r="C3" s="19" t="s">
        <v>7</v>
      </c>
      <c r="D3" s="9" t="s">
        <v>2</v>
      </c>
      <c r="E3" s="2">
        <v>9</v>
      </c>
      <c r="F3" s="3">
        <v>9</v>
      </c>
      <c r="G3" s="3">
        <v>9</v>
      </c>
      <c r="H3" s="3">
        <v>9</v>
      </c>
      <c r="I3" s="3">
        <v>9</v>
      </c>
      <c r="J3" s="3">
        <v>9</v>
      </c>
      <c r="K3" s="3">
        <v>9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9</v>
      </c>
      <c r="T3" s="3">
        <v>9</v>
      </c>
      <c r="U3" s="3">
        <v>8.1199999999999992</v>
      </c>
      <c r="V3" s="3">
        <v>9</v>
      </c>
      <c r="W3" s="3">
        <v>9</v>
      </c>
      <c r="X3" s="3">
        <v>9</v>
      </c>
      <c r="Y3" s="3">
        <v>9</v>
      </c>
      <c r="Z3" s="3">
        <v>9</v>
      </c>
      <c r="AA3" s="3">
        <v>9</v>
      </c>
      <c r="AB3" s="3">
        <v>9</v>
      </c>
      <c r="AC3" s="3">
        <v>9</v>
      </c>
      <c r="AD3" s="3">
        <v>9</v>
      </c>
      <c r="AE3" s="3">
        <v>9</v>
      </c>
      <c r="AF3" s="3">
        <v>7.89</v>
      </c>
      <c r="AG3" s="3">
        <v>9</v>
      </c>
      <c r="AH3" s="3">
        <v>9</v>
      </c>
      <c r="AI3" s="4">
        <v>9</v>
      </c>
      <c r="AJ3" s="19">
        <f>SUM(E4:AI4)</f>
        <v>35.377777777777794</v>
      </c>
      <c r="AK3" s="19">
        <f>+B3-AJ3</f>
        <v>-35.377777777777794</v>
      </c>
    </row>
    <row r="4" spans="1:37" ht="24.75" customHeight="1">
      <c r="A4" s="19"/>
      <c r="B4" s="19"/>
      <c r="C4" s="19"/>
      <c r="D4" s="9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 t="shared" si="0"/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15.64444444444446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f t="shared" si="0"/>
        <v>0</v>
      </c>
      <c r="AE4" s="6">
        <f t="shared" si="0"/>
        <v>0</v>
      </c>
      <c r="AF4" s="6">
        <f t="shared" si="0"/>
        <v>19.733333333333338</v>
      </c>
      <c r="AG4" s="6">
        <f t="shared" si="0"/>
        <v>0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9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51.7</v>
      </c>
      <c r="J5" s="3">
        <v>51.7</v>
      </c>
      <c r="K5" s="3">
        <v>51.7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51.7</v>
      </c>
      <c r="R5" s="3">
        <v>51.7</v>
      </c>
      <c r="S5" s="3">
        <v>51.7</v>
      </c>
      <c r="T5" s="3">
        <v>51.7</v>
      </c>
      <c r="U5" s="3">
        <v>51.7</v>
      </c>
      <c r="V5" s="3">
        <v>51.7</v>
      </c>
      <c r="W5" s="3">
        <v>51.7</v>
      </c>
      <c r="X5" s="3">
        <v>51.7</v>
      </c>
      <c r="Y5" s="3">
        <v>51.7</v>
      </c>
      <c r="Z5" s="3">
        <v>51.7</v>
      </c>
      <c r="AA5" s="3">
        <v>51.7</v>
      </c>
      <c r="AB5" s="3">
        <v>51.7</v>
      </c>
      <c r="AC5" s="3">
        <v>51.7</v>
      </c>
      <c r="AD5" s="3">
        <v>51.7</v>
      </c>
      <c r="AE5" s="3">
        <v>51.7</v>
      </c>
      <c r="AF5" s="3">
        <v>52.86</v>
      </c>
      <c r="AG5" s="3">
        <v>51.7</v>
      </c>
      <c r="AH5" s="3">
        <v>51.7</v>
      </c>
      <c r="AI5" s="4">
        <v>51.7</v>
      </c>
      <c r="AJ5" s="19">
        <f>SUM(E6:AI6)</f>
        <v>-4.1614349775784634</v>
      </c>
      <c r="AK5" s="19">
        <f>+B5-AJ5</f>
        <v>4.1614349775784634</v>
      </c>
    </row>
    <row r="6" spans="1:37" ht="24.75" customHeight="1">
      <c r="A6" s="19"/>
      <c r="B6" s="19"/>
      <c r="C6" s="19"/>
      <c r="D6" s="9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0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0</v>
      </c>
      <c r="AA6" s="6">
        <f t="shared" si="1"/>
        <v>0</v>
      </c>
      <c r="AB6" s="6">
        <f t="shared" si="1"/>
        <v>0</v>
      </c>
      <c r="AC6" s="6">
        <f t="shared" si="1"/>
        <v>0</v>
      </c>
      <c r="AD6" s="6">
        <f t="shared" si="1"/>
        <v>0</v>
      </c>
      <c r="AE6" s="6">
        <f t="shared" si="1"/>
        <v>0</v>
      </c>
      <c r="AF6" s="6">
        <f t="shared" si="1"/>
        <v>-4.1614349775784634</v>
      </c>
      <c r="AG6" s="6">
        <f t="shared" si="1"/>
        <v>0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9" t="s">
        <v>2</v>
      </c>
      <c r="E7" s="2">
        <v>95</v>
      </c>
      <c r="F7" s="3">
        <v>95</v>
      </c>
      <c r="G7" s="3">
        <v>95</v>
      </c>
      <c r="H7" s="3">
        <v>95</v>
      </c>
      <c r="I7" s="3">
        <v>95</v>
      </c>
      <c r="J7" s="3">
        <v>95</v>
      </c>
      <c r="K7" s="3">
        <v>95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95</v>
      </c>
      <c r="R7" s="3">
        <v>95</v>
      </c>
      <c r="S7" s="3">
        <v>95</v>
      </c>
      <c r="T7" s="3">
        <v>95</v>
      </c>
      <c r="U7" s="3">
        <v>95</v>
      </c>
      <c r="V7" s="3">
        <v>95</v>
      </c>
      <c r="W7" s="3">
        <v>95</v>
      </c>
      <c r="X7" s="3">
        <v>95</v>
      </c>
      <c r="Y7" s="3">
        <v>95</v>
      </c>
      <c r="Z7" s="3">
        <v>95</v>
      </c>
      <c r="AA7" s="3">
        <v>95</v>
      </c>
      <c r="AB7" s="3">
        <v>95</v>
      </c>
      <c r="AC7" s="3">
        <v>95</v>
      </c>
      <c r="AD7" s="3">
        <v>95</v>
      </c>
      <c r="AE7" s="3">
        <v>95</v>
      </c>
      <c r="AF7" s="3">
        <v>97.4</v>
      </c>
      <c r="AG7" s="3">
        <v>95</v>
      </c>
      <c r="AH7" s="3">
        <v>95</v>
      </c>
      <c r="AI7" s="4">
        <v>95</v>
      </c>
      <c r="AJ7" s="19">
        <f>SUM(E8:AI8)</f>
        <v>-2.9767441860465187</v>
      </c>
      <c r="AK7" s="19">
        <f>+B7-AJ7</f>
        <v>2.9767441860465187</v>
      </c>
    </row>
    <row r="8" spans="1:37" ht="24.75" customHeight="1">
      <c r="A8" s="19"/>
      <c r="B8" s="19"/>
      <c r="C8" s="19"/>
      <c r="D8" s="9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0</v>
      </c>
      <c r="I8" s="5">
        <f t="shared" si="2"/>
        <v>0</v>
      </c>
      <c r="J8" s="5">
        <f t="shared" si="2"/>
        <v>0</v>
      </c>
      <c r="K8" s="5">
        <f t="shared" si="2"/>
        <v>0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0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0</v>
      </c>
      <c r="V8" s="5">
        <f t="shared" si="2"/>
        <v>0</v>
      </c>
      <c r="W8" s="5">
        <f t="shared" si="2"/>
        <v>0</v>
      </c>
      <c r="X8" s="5">
        <f t="shared" si="2"/>
        <v>0</v>
      </c>
      <c r="Y8" s="5">
        <f t="shared" si="2"/>
        <v>0</v>
      </c>
      <c r="Z8" s="5">
        <f t="shared" si="2"/>
        <v>0</v>
      </c>
      <c r="AA8" s="5">
        <f t="shared" si="2"/>
        <v>0</v>
      </c>
      <c r="AB8" s="5">
        <f t="shared" si="2"/>
        <v>0</v>
      </c>
      <c r="AC8" s="5">
        <f t="shared" si="2"/>
        <v>0</v>
      </c>
      <c r="AD8" s="5">
        <f t="shared" si="2"/>
        <v>0</v>
      </c>
      <c r="AE8" s="5">
        <f t="shared" si="2"/>
        <v>0</v>
      </c>
      <c r="AF8" s="5">
        <f t="shared" si="2"/>
        <v>-2.9767441860465187</v>
      </c>
      <c r="AG8" s="5">
        <f t="shared" si="2"/>
        <v>0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9" t="s">
        <v>2</v>
      </c>
      <c r="E9" s="2">
        <v>2.5</v>
      </c>
      <c r="F9" s="3">
        <v>2.5</v>
      </c>
      <c r="G9" s="3">
        <v>2.5</v>
      </c>
      <c r="H9" s="3">
        <v>2.5</v>
      </c>
      <c r="I9" s="3">
        <v>2.5</v>
      </c>
      <c r="J9" s="3">
        <v>2.5</v>
      </c>
      <c r="K9" s="3">
        <v>2.5</v>
      </c>
      <c r="L9" s="3">
        <v>2.5</v>
      </c>
      <c r="M9" s="3">
        <v>2.5</v>
      </c>
      <c r="N9" s="3">
        <v>2.5</v>
      </c>
      <c r="O9" s="3">
        <v>2.5</v>
      </c>
      <c r="P9" s="3">
        <v>2.5</v>
      </c>
      <c r="Q9" s="3">
        <v>2.5</v>
      </c>
      <c r="R9" s="3">
        <v>2.5</v>
      </c>
      <c r="S9" s="3">
        <v>2.5</v>
      </c>
      <c r="T9" s="3">
        <v>2.5</v>
      </c>
      <c r="U9" s="3">
        <v>2</v>
      </c>
      <c r="V9" s="3">
        <v>2.5</v>
      </c>
      <c r="W9" s="3">
        <v>2.5</v>
      </c>
      <c r="X9" s="3">
        <v>2.5</v>
      </c>
      <c r="Y9" s="3">
        <v>2.5</v>
      </c>
      <c r="Z9" s="3">
        <v>2.5</v>
      </c>
      <c r="AA9" s="3">
        <v>2.5</v>
      </c>
      <c r="AB9" s="3">
        <v>2.5</v>
      </c>
      <c r="AC9" s="3">
        <v>2.5</v>
      </c>
      <c r="AD9" s="3">
        <v>2.5</v>
      </c>
      <c r="AE9" s="3">
        <v>2.5</v>
      </c>
      <c r="AF9" s="3">
        <v>1.68</v>
      </c>
      <c r="AG9" s="3">
        <v>2.5</v>
      </c>
      <c r="AH9" s="3">
        <v>2.5</v>
      </c>
      <c r="AI9" s="4">
        <v>2.5</v>
      </c>
      <c r="AJ9" s="19">
        <f>SUM(E10:AI10)</f>
        <v>1056</v>
      </c>
      <c r="AK9" s="19">
        <f>+B9-AJ9</f>
        <v>-1056</v>
      </c>
    </row>
    <row r="10" spans="1:37" ht="24.75" customHeight="1">
      <c r="A10" s="19"/>
      <c r="B10" s="19"/>
      <c r="C10" s="19"/>
      <c r="D10" s="9" t="s">
        <v>3</v>
      </c>
      <c r="E10" s="5">
        <f>+(2.5-E9)*800</f>
        <v>0</v>
      </c>
      <c r="F10" s="6">
        <f t="shared" ref="F10:AI10" si="3">+(2.5-F9)*800</f>
        <v>0</v>
      </c>
      <c r="G10" s="6">
        <f t="shared" si="3"/>
        <v>0</v>
      </c>
      <c r="H10" s="6">
        <f t="shared" si="3"/>
        <v>0</v>
      </c>
      <c r="I10" s="6">
        <f t="shared" si="3"/>
        <v>0</v>
      </c>
      <c r="J10" s="6">
        <f t="shared" si="3"/>
        <v>0</v>
      </c>
      <c r="K10" s="6">
        <f t="shared" si="3"/>
        <v>0</v>
      </c>
      <c r="L10" s="6">
        <f t="shared" si="3"/>
        <v>0</v>
      </c>
      <c r="M10" s="6">
        <f t="shared" si="3"/>
        <v>0</v>
      </c>
      <c r="N10" s="6">
        <f t="shared" si="3"/>
        <v>0</v>
      </c>
      <c r="O10" s="6">
        <f t="shared" si="3"/>
        <v>0</v>
      </c>
      <c r="P10" s="6">
        <f t="shared" si="3"/>
        <v>0</v>
      </c>
      <c r="Q10" s="6">
        <f t="shared" si="3"/>
        <v>0</v>
      </c>
      <c r="R10" s="6">
        <f t="shared" si="3"/>
        <v>0</v>
      </c>
      <c r="S10" s="6">
        <f t="shared" si="3"/>
        <v>0</v>
      </c>
      <c r="T10" s="6">
        <f t="shared" si="3"/>
        <v>0</v>
      </c>
      <c r="U10" s="6">
        <f t="shared" si="3"/>
        <v>400</v>
      </c>
      <c r="V10" s="6">
        <f t="shared" si="3"/>
        <v>0</v>
      </c>
      <c r="W10" s="6">
        <f t="shared" si="3"/>
        <v>0</v>
      </c>
      <c r="X10" s="6">
        <f t="shared" si="3"/>
        <v>0</v>
      </c>
      <c r="Y10" s="6">
        <f t="shared" si="3"/>
        <v>0</v>
      </c>
      <c r="Z10" s="6">
        <f t="shared" si="3"/>
        <v>0</v>
      </c>
      <c r="AA10" s="6">
        <f t="shared" si="3"/>
        <v>0</v>
      </c>
      <c r="AB10" s="6">
        <f t="shared" si="3"/>
        <v>0</v>
      </c>
      <c r="AC10" s="6">
        <f t="shared" si="3"/>
        <v>0</v>
      </c>
      <c r="AD10" s="6">
        <f t="shared" si="3"/>
        <v>0</v>
      </c>
      <c r="AE10" s="6">
        <f t="shared" si="3"/>
        <v>0</v>
      </c>
      <c r="AF10" s="6">
        <f t="shared" si="3"/>
        <v>656</v>
      </c>
      <c r="AG10" s="6">
        <f t="shared" si="3"/>
        <v>0</v>
      </c>
      <c r="AH10" s="6">
        <f t="shared" si="3"/>
        <v>0</v>
      </c>
      <c r="AI10" s="7">
        <f t="shared" si="3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9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9" t="s">
        <v>3</v>
      </c>
      <c r="E12" s="5">
        <f>+(2-E11)*800</f>
        <v>0</v>
      </c>
      <c r="F12" s="6">
        <f t="shared" ref="F12:AI12" si="4">+(2-F11)*800</f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0</v>
      </c>
      <c r="Z12" s="6"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0</v>
      </c>
      <c r="AE12" s="6">
        <f t="shared" si="4"/>
        <v>0</v>
      </c>
      <c r="AF12" s="6">
        <f t="shared" si="4"/>
        <v>0</v>
      </c>
      <c r="AG12" s="6">
        <f t="shared" si="4"/>
        <v>0</v>
      </c>
      <c r="AH12" s="6">
        <f t="shared" si="4"/>
        <v>0</v>
      </c>
      <c r="AI12" s="7">
        <f t="shared" si="4"/>
        <v>0</v>
      </c>
      <c r="AJ12" s="19"/>
      <c r="AK12" s="19"/>
    </row>
  </sheetData>
  <mergeCells count="26">
    <mergeCell ref="A9:A10"/>
    <mergeCell ref="B9:B10"/>
    <mergeCell ref="C9:C10"/>
    <mergeCell ref="AJ9:AJ10"/>
    <mergeCell ref="AK9:AK10"/>
    <mergeCell ref="A11:A12"/>
    <mergeCell ref="B11:B12"/>
    <mergeCell ref="C11:C12"/>
    <mergeCell ref="AJ11:AJ12"/>
    <mergeCell ref="AK11:AK12"/>
    <mergeCell ref="A5:A6"/>
    <mergeCell ref="B5:B6"/>
    <mergeCell ref="C5:C6"/>
    <mergeCell ref="AJ5:AJ6"/>
    <mergeCell ref="AK5:AK6"/>
    <mergeCell ref="A7:A8"/>
    <mergeCell ref="B7:B8"/>
    <mergeCell ref="C7:C8"/>
    <mergeCell ref="AJ7:AJ8"/>
    <mergeCell ref="AK7:AK8"/>
    <mergeCell ref="A1:AK1"/>
    <mergeCell ref="A3:A4"/>
    <mergeCell ref="B3:B4"/>
    <mergeCell ref="C3:C4"/>
    <mergeCell ref="AJ3:AJ4"/>
    <mergeCell ref="AK3:AK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AG10" sqref="AG10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0" t="s">
        <v>0</v>
      </c>
      <c r="B2" s="10" t="s">
        <v>1</v>
      </c>
      <c r="C2" s="10" t="s">
        <v>6</v>
      </c>
      <c r="D2" s="10"/>
      <c r="E2" s="10">
        <v>1</v>
      </c>
      <c r="F2" s="10">
        <v>2</v>
      </c>
      <c r="G2" s="10">
        <v>3</v>
      </c>
      <c r="H2" s="10">
        <v>4</v>
      </c>
      <c r="I2" s="10">
        <v>5</v>
      </c>
      <c r="J2" s="10">
        <v>6</v>
      </c>
      <c r="K2" s="10">
        <v>7</v>
      </c>
      <c r="L2" s="10">
        <v>8</v>
      </c>
      <c r="M2" s="10">
        <v>9</v>
      </c>
      <c r="N2" s="10">
        <v>10</v>
      </c>
      <c r="O2" s="10">
        <v>11</v>
      </c>
      <c r="P2" s="10">
        <v>12</v>
      </c>
      <c r="Q2" s="10">
        <v>13</v>
      </c>
      <c r="R2" s="10">
        <v>14</v>
      </c>
      <c r="S2" s="10">
        <v>15</v>
      </c>
      <c r="T2" s="10">
        <v>16</v>
      </c>
      <c r="U2" s="10">
        <v>17</v>
      </c>
      <c r="V2" s="10">
        <v>18</v>
      </c>
      <c r="W2" s="10">
        <v>19</v>
      </c>
      <c r="X2" s="10">
        <v>20</v>
      </c>
      <c r="Y2" s="10">
        <v>21</v>
      </c>
      <c r="Z2" s="10">
        <v>22</v>
      </c>
      <c r="AA2" s="10">
        <v>23</v>
      </c>
      <c r="AB2" s="10">
        <v>24</v>
      </c>
      <c r="AC2" s="10">
        <v>25</v>
      </c>
      <c r="AD2" s="10">
        <v>26</v>
      </c>
      <c r="AE2" s="10">
        <v>27</v>
      </c>
      <c r="AF2" s="10">
        <v>28</v>
      </c>
      <c r="AG2" s="10">
        <v>29</v>
      </c>
      <c r="AH2" s="10">
        <v>30</v>
      </c>
      <c r="AI2" s="10">
        <v>31</v>
      </c>
      <c r="AJ2" s="10" t="s">
        <v>5</v>
      </c>
      <c r="AK2" s="10" t="s">
        <v>4</v>
      </c>
    </row>
    <row r="3" spans="1:37" ht="24.75" customHeight="1">
      <c r="A3" s="19" t="s">
        <v>8</v>
      </c>
      <c r="B3" s="19"/>
      <c r="C3" s="19" t="s">
        <v>7</v>
      </c>
      <c r="D3" s="10" t="s">
        <v>2</v>
      </c>
      <c r="E3" s="2">
        <v>9</v>
      </c>
      <c r="F3" s="3">
        <v>9</v>
      </c>
      <c r="G3" s="3">
        <v>9</v>
      </c>
      <c r="H3" s="3">
        <v>9</v>
      </c>
      <c r="I3" s="3">
        <v>7.78</v>
      </c>
      <c r="J3" s="3">
        <v>9</v>
      </c>
      <c r="K3" s="3">
        <v>9</v>
      </c>
      <c r="L3" s="3">
        <v>9</v>
      </c>
      <c r="M3" s="3">
        <v>8.35</v>
      </c>
      <c r="N3" s="3">
        <v>9</v>
      </c>
      <c r="O3" s="3">
        <v>9</v>
      </c>
      <c r="P3" s="3">
        <v>9</v>
      </c>
      <c r="Q3" s="3">
        <v>7.44</v>
      </c>
      <c r="R3" s="3">
        <v>9</v>
      </c>
      <c r="S3" s="3">
        <v>9</v>
      </c>
      <c r="T3" s="3">
        <v>9</v>
      </c>
      <c r="U3" s="3">
        <v>9</v>
      </c>
      <c r="V3" s="3">
        <v>9</v>
      </c>
      <c r="W3" s="3">
        <v>9</v>
      </c>
      <c r="X3" s="3">
        <v>9</v>
      </c>
      <c r="Y3" s="3">
        <v>9</v>
      </c>
      <c r="Z3" s="3">
        <v>8.5</v>
      </c>
      <c r="AA3" s="3">
        <v>9</v>
      </c>
      <c r="AB3" s="3">
        <v>9</v>
      </c>
      <c r="AC3" s="3">
        <v>9</v>
      </c>
      <c r="AD3" s="3">
        <v>8.4700000000000006</v>
      </c>
      <c r="AE3" s="3">
        <v>9</v>
      </c>
      <c r="AF3" s="3">
        <v>9</v>
      </c>
      <c r="AG3" s="3">
        <v>8.5</v>
      </c>
      <c r="AH3" s="3">
        <v>9</v>
      </c>
      <c r="AI3" s="4">
        <v>9</v>
      </c>
      <c r="AJ3" s="19">
        <f>SUM(E4:AI4)</f>
        <v>88.177777777777749</v>
      </c>
      <c r="AK3" s="19">
        <f>+B3-AJ3</f>
        <v>-88.177777777777749</v>
      </c>
    </row>
    <row r="4" spans="1:37" ht="24.75" customHeight="1">
      <c r="A4" s="19"/>
      <c r="B4" s="19"/>
      <c r="C4" s="19"/>
      <c r="D4" s="10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21.688888888888883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>+(9-M3)*800/45</f>
        <v>11.555555555555561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27.733333333333327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8.8888888888888893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f t="shared" si="0"/>
        <v>9.4222222222222101</v>
      </c>
      <c r="AE4" s="6">
        <f t="shared" si="0"/>
        <v>0</v>
      </c>
      <c r="AF4" s="6">
        <f t="shared" si="0"/>
        <v>0</v>
      </c>
      <c r="AG4" s="6">
        <f t="shared" si="0"/>
        <v>8.8888888888888893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0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47.7</v>
      </c>
      <c r="J5" s="3">
        <v>51.7</v>
      </c>
      <c r="K5" s="3">
        <v>51.7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43.23</v>
      </c>
      <c r="R5" s="3">
        <v>51.7</v>
      </c>
      <c r="S5" s="3">
        <v>51.7</v>
      </c>
      <c r="T5" s="3">
        <v>51.7</v>
      </c>
      <c r="U5" s="3">
        <v>51.7</v>
      </c>
      <c r="V5" s="3">
        <v>51.7</v>
      </c>
      <c r="W5" s="3">
        <v>51.7</v>
      </c>
      <c r="X5" s="3">
        <v>51.7</v>
      </c>
      <c r="Y5" s="3">
        <v>51.7</v>
      </c>
      <c r="Z5" s="3">
        <v>51.7</v>
      </c>
      <c r="AA5" s="3">
        <v>51.7</v>
      </c>
      <c r="AB5" s="3">
        <v>51.7</v>
      </c>
      <c r="AC5" s="3">
        <v>51.7</v>
      </c>
      <c r="AD5" s="3">
        <v>51.7</v>
      </c>
      <c r="AE5" s="3">
        <v>51.7</v>
      </c>
      <c r="AF5" s="3">
        <v>51.7</v>
      </c>
      <c r="AG5" s="3">
        <v>53</v>
      </c>
      <c r="AH5" s="3">
        <v>51.7</v>
      </c>
      <c r="AI5" s="4">
        <v>51.7</v>
      </c>
      <c r="AJ5" s="19">
        <f>SUM(E6:AI6)</f>
        <v>40.071748878923799</v>
      </c>
      <c r="AK5" s="19">
        <f>+B5-AJ5</f>
        <v>-40.071748878923799</v>
      </c>
    </row>
    <row r="6" spans="1:37" ht="24.75" customHeight="1">
      <c r="A6" s="19"/>
      <c r="B6" s="19"/>
      <c r="C6" s="19"/>
      <c r="D6" s="10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14.349775784753364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30.385650224215269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0</v>
      </c>
      <c r="AA6" s="6">
        <f t="shared" si="1"/>
        <v>0</v>
      </c>
      <c r="AB6" s="6">
        <f t="shared" si="1"/>
        <v>0</v>
      </c>
      <c r="AC6" s="6">
        <f t="shared" si="1"/>
        <v>0</v>
      </c>
      <c r="AD6" s="6">
        <f t="shared" si="1"/>
        <v>0</v>
      </c>
      <c r="AE6" s="6">
        <f t="shared" si="1"/>
        <v>0</v>
      </c>
      <c r="AF6" s="6">
        <f t="shared" si="1"/>
        <v>0</v>
      </c>
      <c r="AG6" s="6">
        <f t="shared" si="1"/>
        <v>-4.6636771300448325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0" t="s">
        <v>2</v>
      </c>
      <c r="E7" s="2">
        <v>95</v>
      </c>
      <c r="F7" s="3">
        <v>95</v>
      </c>
      <c r="G7" s="3">
        <v>95</v>
      </c>
      <c r="H7" s="3">
        <v>95</v>
      </c>
      <c r="I7" s="3">
        <v>93.4</v>
      </c>
      <c r="J7" s="3">
        <v>95</v>
      </c>
      <c r="K7" s="3">
        <v>95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88.86</v>
      </c>
      <c r="R7" s="3">
        <v>95</v>
      </c>
      <c r="S7" s="3">
        <v>95</v>
      </c>
      <c r="T7" s="3">
        <v>95</v>
      </c>
      <c r="U7" s="3">
        <v>95</v>
      </c>
      <c r="V7" s="3">
        <v>95</v>
      </c>
      <c r="W7" s="3">
        <v>95</v>
      </c>
      <c r="X7" s="3">
        <v>95</v>
      </c>
      <c r="Y7" s="3">
        <v>95</v>
      </c>
      <c r="Z7" s="3">
        <v>88</v>
      </c>
      <c r="AA7" s="3">
        <v>95</v>
      </c>
      <c r="AB7" s="3">
        <v>95</v>
      </c>
      <c r="AC7" s="3">
        <v>95</v>
      </c>
      <c r="AD7" s="3">
        <v>95</v>
      </c>
      <c r="AE7" s="3">
        <v>95</v>
      </c>
      <c r="AF7" s="3">
        <v>95</v>
      </c>
      <c r="AG7" s="3">
        <v>89</v>
      </c>
      <c r="AH7" s="3">
        <v>95</v>
      </c>
      <c r="AI7" s="4">
        <v>95</v>
      </c>
      <c r="AJ7" s="19">
        <f>SUM(E8:AI8)</f>
        <v>25.724031007751929</v>
      </c>
      <c r="AK7" s="19">
        <f>+B7-AJ7</f>
        <v>-25.724031007751929</v>
      </c>
    </row>
    <row r="8" spans="1:37" ht="24.75" customHeight="1">
      <c r="A8" s="19"/>
      <c r="B8" s="19"/>
      <c r="C8" s="19"/>
      <c r="D8" s="10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0</v>
      </c>
      <c r="I8" s="5">
        <f t="shared" si="2"/>
        <v>1.9844961240310006</v>
      </c>
      <c r="J8" s="5">
        <f t="shared" si="2"/>
        <v>0</v>
      </c>
      <c r="K8" s="5">
        <f t="shared" si="2"/>
        <v>0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7.6155038759689919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0</v>
      </c>
      <c r="V8" s="5">
        <f t="shared" si="2"/>
        <v>0</v>
      </c>
      <c r="W8" s="5">
        <f t="shared" si="2"/>
        <v>0</v>
      </c>
      <c r="X8" s="5">
        <f t="shared" si="2"/>
        <v>0</v>
      </c>
      <c r="Y8" s="5">
        <f t="shared" si="2"/>
        <v>0</v>
      </c>
      <c r="Z8" s="5">
        <f t="shared" si="2"/>
        <v>8.6821705426356584</v>
      </c>
      <c r="AA8" s="5">
        <f t="shared" si="2"/>
        <v>0</v>
      </c>
      <c r="AB8" s="5">
        <f t="shared" si="2"/>
        <v>0</v>
      </c>
      <c r="AC8" s="5">
        <f t="shared" si="2"/>
        <v>0</v>
      </c>
      <c r="AD8" s="5">
        <f t="shared" si="2"/>
        <v>0</v>
      </c>
      <c r="AE8" s="5">
        <f t="shared" si="2"/>
        <v>0</v>
      </c>
      <c r="AF8" s="5">
        <f t="shared" si="2"/>
        <v>0</v>
      </c>
      <c r="AG8" s="5">
        <f t="shared" si="2"/>
        <v>7.441860465116279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0" t="s">
        <v>2</v>
      </c>
      <c r="E9" s="2">
        <v>2.5</v>
      </c>
      <c r="F9" s="3">
        <v>2.5</v>
      </c>
      <c r="G9" s="3">
        <v>2.5</v>
      </c>
      <c r="H9" s="3">
        <v>2.5</v>
      </c>
      <c r="I9" s="3">
        <v>1.81</v>
      </c>
      <c r="J9" s="3">
        <v>2.5</v>
      </c>
      <c r="K9" s="3">
        <v>2.5</v>
      </c>
      <c r="L9" s="3">
        <v>2.5</v>
      </c>
      <c r="M9" s="3">
        <v>2.5</v>
      </c>
      <c r="N9" s="3">
        <v>2.5</v>
      </c>
      <c r="O9" s="3">
        <v>2.5</v>
      </c>
      <c r="P9" s="3">
        <v>2.5</v>
      </c>
      <c r="Q9" s="3">
        <v>0.54</v>
      </c>
      <c r="R9" s="3">
        <v>2.5</v>
      </c>
      <c r="S9" s="3">
        <v>2.5</v>
      </c>
      <c r="T9" s="3">
        <v>2.5</v>
      </c>
      <c r="U9" s="3">
        <v>2</v>
      </c>
      <c r="V9" s="3">
        <v>2.5</v>
      </c>
      <c r="W9" s="3">
        <v>2.5</v>
      </c>
      <c r="X9" s="3">
        <v>2.5</v>
      </c>
      <c r="Y9" s="3">
        <v>2.5</v>
      </c>
      <c r="Z9" s="3">
        <v>1.5</v>
      </c>
      <c r="AA9" s="3">
        <v>2.5</v>
      </c>
      <c r="AB9" s="3">
        <v>2.5</v>
      </c>
      <c r="AC9" s="3">
        <v>2.5</v>
      </c>
      <c r="AD9" s="3">
        <v>2.5</v>
      </c>
      <c r="AE9" s="3">
        <v>2.5</v>
      </c>
      <c r="AF9" s="3">
        <v>2.5</v>
      </c>
      <c r="AG9" s="3">
        <v>1.33</v>
      </c>
      <c r="AH9" s="3">
        <v>2.5</v>
      </c>
      <c r="AI9" s="4">
        <v>2.5</v>
      </c>
      <c r="AJ9" s="19">
        <f>SUM(E10:AI10)</f>
        <v>4256</v>
      </c>
      <c r="AK9" s="19">
        <f>+B9-AJ9</f>
        <v>-4256</v>
      </c>
    </row>
    <row r="10" spans="1:37" ht="24.75" customHeight="1">
      <c r="A10" s="19"/>
      <c r="B10" s="19"/>
      <c r="C10" s="19"/>
      <c r="D10" s="10" t="s">
        <v>3</v>
      </c>
      <c r="E10" s="5">
        <f>+(2.5-E9)*800</f>
        <v>0</v>
      </c>
      <c r="F10" s="6">
        <f t="shared" ref="F10:AI10" si="3">+(2.5-F9)*800</f>
        <v>0</v>
      </c>
      <c r="G10" s="6">
        <f t="shared" si="3"/>
        <v>0</v>
      </c>
      <c r="H10" s="6">
        <f t="shared" si="3"/>
        <v>0</v>
      </c>
      <c r="I10" s="6">
        <f t="shared" si="3"/>
        <v>552</v>
      </c>
      <c r="J10" s="6">
        <f t="shared" si="3"/>
        <v>0</v>
      </c>
      <c r="K10" s="6">
        <f t="shared" si="3"/>
        <v>0</v>
      </c>
      <c r="L10" s="6">
        <f t="shared" si="3"/>
        <v>0</v>
      </c>
      <c r="M10" s="6">
        <f t="shared" si="3"/>
        <v>0</v>
      </c>
      <c r="N10" s="6">
        <f t="shared" si="3"/>
        <v>0</v>
      </c>
      <c r="O10" s="6">
        <f t="shared" si="3"/>
        <v>0</v>
      </c>
      <c r="P10" s="6">
        <f t="shared" si="3"/>
        <v>0</v>
      </c>
      <c r="Q10" s="6">
        <f t="shared" si="3"/>
        <v>1568</v>
      </c>
      <c r="R10" s="6">
        <f t="shared" si="3"/>
        <v>0</v>
      </c>
      <c r="S10" s="6">
        <f t="shared" si="3"/>
        <v>0</v>
      </c>
      <c r="T10" s="6">
        <f t="shared" si="3"/>
        <v>0</v>
      </c>
      <c r="U10" s="6">
        <f t="shared" si="3"/>
        <v>400</v>
      </c>
      <c r="V10" s="6">
        <f t="shared" si="3"/>
        <v>0</v>
      </c>
      <c r="W10" s="6">
        <f t="shared" si="3"/>
        <v>0</v>
      </c>
      <c r="X10" s="6">
        <f t="shared" si="3"/>
        <v>0</v>
      </c>
      <c r="Y10" s="6">
        <f t="shared" si="3"/>
        <v>0</v>
      </c>
      <c r="Z10" s="6">
        <f t="shared" si="3"/>
        <v>800</v>
      </c>
      <c r="AA10" s="6">
        <f t="shared" si="3"/>
        <v>0</v>
      </c>
      <c r="AB10" s="6">
        <f t="shared" si="3"/>
        <v>0</v>
      </c>
      <c r="AC10" s="6">
        <f t="shared" si="3"/>
        <v>0</v>
      </c>
      <c r="AD10" s="6">
        <f t="shared" si="3"/>
        <v>0</v>
      </c>
      <c r="AE10" s="6">
        <f t="shared" si="3"/>
        <v>0</v>
      </c>
      <c r="AF10" s="6">
        <f t="shared" si="3"/>
        <v>0</v>
      </c>
      <c r="AG10" s="6">
        <f t="shared" si="3"/>
        <v>936</v>
      </c>
      <c r="AH10" s="6">
        <f t="shared" si="3"/>
        <v>0</v>
      </c>
      <c r="AI10" s="7">
        <f t="shared" si="3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0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10" t="s">
        <v>3</v>
      </c>
      <c r="E12" s="5">
        <f>+(2-E11)*800</f>
        <v>0</v>
      </c>
      <c r="F12" s="6">
        <f t="shared" ref="F12:AI12" si="4">+(2-F11)*800</f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0</v>
      </c>
      <c r="Z12" s="6"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0</v>
      </c>
      <c r="AE12" s="6">
        <f t="shared" si="4"/>
        <v>0</v>
      </c>
      <c r="AF12" s="6">
        <f t="shared" si="4"/>
        <v>0</v>
      </c>
      <c r="AG12" s="6">
        <f t="shared" si="4"/>
        <v>0</v>
      </c>
      <c r="AH12" s="6">
        <f t="shared" si="4"/>
        <v>0</v>
      </c>
      <c r="AI12" s="7">
        <f t="shared" si="4"/>
        <v>0</v>
      </c>
      <c r="AJ12" s="19"/>
      <c r="AK12" s="19"/>
    </row>
  </sheetData>
  <mergeCells count="26">
    <mergeCell ref="A1:AK1"/>
    <mergeCell ref="A3:A4"/>
    <mergeCell ref="B3:B4"/>
    <mergeCell ref="C3:C4"/>
    <mergeCell ref="AJ3:AJ4"/>
    <mergeCell ref="AK3:AK4"/>
    <mergeCell ref="A7:A8"/>
    <mergeCell ref="B7:B8"/>
    <mergeCell ref="C7:C8"/>
    <mergeCell ref="AJ7:AJ8"/>
    <mergeCell ref="AK7:AK8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  <mergeCell ref="A9:A10"/>
    <mergeCell ref="B9:B10"/>
    <mergeCell ref="C9:C10"/>
    <mergeCell ref="AJ9:AJ10"/>
    <mergeCell ref="AK9:AK1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AG2" sqref="AG2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1" t="s">
        <v>0</v>
      </c>
      <c r="B2" s="11" t="s">
        <v>1</v>
      </c>
      <c r="C2" s="11" t="s">
        <v>6</v>
      </c>
      <c r="D2" s="11"/>
      <c r="E2" s="11">
        <v>1</v>
      </c>
      <c r="F2" s="11">
        <v>2</v>
      </c>
      <c r="G2" s="11">
        <v>3</v>
      </c>
      <c r="H2" s="11">
        <v>4</v>
      </c>
      <c r="I2" s="11">
        <v>5</v>
      </c>
      <c r="J2" s="11">
        <v>6</v>
      </c>
      <c r="K2" s="11">
        <v>7</v>
      </c>
      <c r="L2" s="11">
        <v>8</v>
      </c>
      <c r="M2" s="11">
        <v>9</v>
      </c>
      <c r="N2" s="11">
        <v>10</v>
      </c>
      <c r="O2" s="11">
        <v>11</v>
      </c>
      <c r="P2" s="11">
        <v>12</v>
      </c>
      <c r="Q2" s="11">
        <v>13</v>
      </c>
      <c r="R2" s="11">
        <v>14</v>
      </c>
      <c r="S2" s="11">
        <v>15</v>
      </c>
      <c r="T2" s="11">
        <v>16</v>
      </c>
      <c r="U2" s="11">
        <v>17</v>
      </c>
      <c r="V2" s="11">
        <v>18</v>
      </c>
      <c r="W2" s="11">
        <v>19</v>
      </c>
      <c r="X2" s="11">
        <v>20</v>
      </c>
      <c r="Y2" s="11">
        <v>21</v>
      </c>
      <c r="Z2" s="11">
        <v>22</v>
      </c>
      <c r="AA2" s="11">
        <v>23</v>
      </c>
      <c r="AB2" s="11">
        <v>24</v>
      </c>
      <c r="AC2" s="11">
        <v>25</v>
      </c>
      <c r="AD2" s="11">
        <v>26</v>
      </c>
      <c r="AE2" s="11">
        <v>27</v>
      </c>
      <c r="AF2" s="11">
        <v>28</v>
      </c>
      <c r="AG2" s="11">
        <v>29</v>
      </c>
      <c r="AH2" s="11">
        <v>30</v>
      </c>
      <c r="AI2" s="11">
        <v>31</v>
      </c>
      <c r="AJ2" s="11" t="s">
        <v>5</v>
      </c>
      <c r="AK2" s="11" t="s">
        <v>4</v>
      </c>
    </row>
    <row r="3" spans="1:37" ht="24.75" customHeight="1">
      <c r="A3" s="19" t="s">
        <v>8</v>
      </c>
      <c r="B3" s="19"/>
      <c r="C3" s="19" t="s">
        <v>7</v>
      </c>
      <c r="D3" s="11" t="s">
        <v>2</v>
      </c>
      <c r="E3" s="2">
        <v>9</v>
      </c>
      <c r="F3" s="3">
        <v>9</v>
      </c>
      <c r="G3" s="3">
        <v>9</v>
      </c>
      <c r="H3" s="3">
        <v>9</v>
      </c>
      <c r="I3" s="3">
        <v>7.78</v>
      </c>
      <c r="J3" s="3">
        <v>9</v>
      </c>
      <c r="K3" s="3">
        <v>9</v>
      </c>
      <c r="L3" s="3">
        <v>9</v>
      </c>
      <c r="M3" s="3">
        <v>8.35</v>
      </c>
      <c r="N3" s="3">
        <v>9</v>
      </c>
      <c r="O3" s="3">
        <v>9</v>
      </c>
      <c r="P3" s="3">
        <v>9</v>
      </c>
      <c r="Q3" s="3">
        <v>7.44</v>
      </c>
      <c r="R3" s="3">
        <v>9</v>
      </c>
      <c r="S3" s="3">
        <v>9</v>
      </c>
      <c r="T3" s="3">
        <v>9</v>
      </c>
      <c r="U3" s="3">
        <v>9</v>
      </c>
      <c r="V3" s="3">
        <v>9</v>
      </c>
      <c r="W3" s="3">
        <v>9</v>
      </c>
      <c r="X3" s="3">
        <v>9</v>
      </c>
      <c r="Y3" s="3">
        <v>9</v>
      </c>
      <c r="Z3" s="3">
        <v>9</v>
      </c>
      <c r="AA3" s="3">
        <v>9</v>
      </c>
      <c r="AB3" s="3">
        <v>9</v>
      </c>
      <c r="AC3" s="3">
        <v>9</v>
      </c>
      <c r="AD3" s="3">
        <v>8.81</v>
      </c>
      <c r="AE3" s="3">
        <v>9</v>
      </c>
      <c r="AF3" s="3">
        <v>9</v>
      </c>
      <c r="AG3" s="3">
        <v>9.1999999999999993</v>
      </c>
      <c r="AH3" s="3">
        <v>9</v>
      </c>
      <c r="AI3" s="4">
        <v>9</v>
      </c>
      <c r="AJ3" s="19">
        <f>SUM(E4:AI4)</f>
        <v>62.422222222222217</v>
      </c>
      <c r="AK3" s="19">
        <f>+B3-AJ3</f>
        <v>-62.422222222222217</v>
      </c>
    </row>
    <row r="4" spans="1:37" ht="24.75" customHeight="1">
      <c r="A4" s="19"/>
      <c r="B4" s="19"/>
      <c r="C4" s="19"/>
      <c r="D4" s="11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21.688888888888883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>+(9-M3)*800/45</f>
        <v>11.555555555555561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27.733333333333327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v>5</v>
      </c>
      <c r="AE4" s="6">
        <f t="shared" si="0"/>
        <v>0</v>
      </c>
      <c r="AF4" s="6">
        <f t="shared" si="0"/>
        <v>0</v>
      </c>
      <c r="AG4" s="6">
        <f t="shared" si="0"/>
        <v>-3.5555555555555429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1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47.7</v>
      </c>
      <c r="J5" s="3">
        <v>51.7</v>
      </c>
      <c r="K5" s="3">
        <v>51.7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43.23</v>
      </c>
      <c r="R5" s="3">
        <v>51.7</v>
      </c>
      <c r="S5" s="3">
        <v>51.7</v>
      </c>
      <c r="T5" s="3">
        <v>51.7</v>
      </c>
      <c r="U5" s="3">
        <v>51.7</v>
      </c>
      <c r="V5" s="3">
        <v>51.7</v>
      </c>
      <c r="W5" s="3">
        <v>51.7</v>
      </c>
      <c r="X5" s="3">
        <v>51.7</v>
      </c>
      <c r="Y5" s="3">
        <v>51.7</v>
      </c>
      <c r="Z5" s="3">
        <v>51.7</v>
      </c>
      <c r="AA5" s="3">
        <v>51.7</v>
      </c>
      <c r="AB5" s="3">
        <v>51.7</v>
      </c>
      <c r="AC5" s="3">
        <v>51.7</v>
      </c>
      <c r="AD5" s="3">
        <v>51.64</v>
      </c>
      <c r="AE5" s="3">
        <v>51.7</v>
      </c>
      <c r="AF5" s="3">
        <v>51.7</v>
      </c>
      <c r="AG5" s="3">
        <v>56</v>
      </c>
      <c r="AH5" s="3">
        <v>51.7</v>
      </c>
      <c r="AI5" s="4">
        <v>51.7</v>
      </c>
      <c r="AJ5" s="19">
        <f>SUM(E6:AI6)</f>
        <v>29.309417040358774</v>
      </c>
      <c r="AK5" s="19">
        <f>+B5-AJ5</f>
        <v>-29.309417040358774</v>
      </c>
    </row>
    <row r="6" spans="1:37" ht="24.75" customHeight="1">
      <c r="A6" s="19"/>
      <c r="B6" s="19"/>
      <c r="C6" s="19"/>
      <c r="D6" s="11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14.349775784753364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30.385650224215269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0</v>
      </c>
      <c r="AA6" s="6">
        <f t="shared" si="1"/>
        <v>0</v>
      </c>
      <c r="AB6" s="6">
        <f t="shared" si="1"/>
        <v>0</v>
      </c>
      <c r="AC6" s="6">
        <f t="shared" si="1"/>
        <v>0</v>
      </c>
      <c r="AD6" s="6">
        <v>0</v>
      </c>
      <c r="AE6" s="6">
        <f t="shared" si="1"/>
        <v>0</v>
      </c>
      <c r="AF6" s="6">
        <f t="shared" si="1"/>
        <v>0</v>
      </c>
      <c r="AG6" s="6">
        <f t="shared" si="1"/>
        <v>-15.426008968609855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1" t="s">
        <v>2</v>
      </c>
      <c r="E7" s="2">
        <v>95</v>
      </c>
      <c r="F7" s="3">
        <v>95</v>
      </c>
      <c r="G7" s="3">
        <v>95</v>
      </c>
      <c r="H7" s="3">
        <v>95</v>
      </c>
      <c r="I7" s="3">
        <v>93.4</v>
      </c>
      <c r="J7" s="3">
        <v>95</v>
      </c>
      <c r="K7" s="3">
        <v>95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88.86</v>
      </c>
      <c r="R7" s="3">
        <v>95</v>
      </c>
      <c r="S7" s="3">
        <v>95</v>
      </c>
      <c r="T7" s="3">
        <v>95</v>
      </c>
      <c r="U7" s="3">
        <v>95</v>
      </c>
      <c r="V7" s="3">
        <v>95</v>
      </c>
      <c r="W7" s="3">
        <v>95</v>
      </c>
      <c r="X7" s="3">
        <v>95</v>
      </c>
      <c r="Y7" s="3">
        <v>95</v>
      </c>
      <c r="Z7" s="3">
        <v>95</v>
      </c>
      <c r="AA7" s="3">
        <v>95</v>
      </c>
      <c r="AB7" s="3">
        <v>95</v>
      </c>
      <c r="AC7" s="3">
        <v>95</v>
      </c>
      <c r="AD7" s="3">
        <v>106.3</v>
      </c>
      <c r="AE7" s="3">
        <v>95</v>
      </c>
      <c r="AF7" s="3">
        <v>95</v>
      </c>
      <c r="AG7" s="3">
        <v>101</v>
      </c>
      <c r="AH7" s="3">
        <v>95</v>
      </c>
      <c r="AI7" s="4">
        <v>95</v>
      </c>
      <c r="AJ7" s="19">
        <f>SUM(E8:AI8)</f>
        <v>-11.857364341085276</v>
      </c>
      <c r="AK7" s="19">
        <f>+B7-AJ7</f>
        <v>11.857364341085276</v>
      </c>
    </row>
    <row r="8" spans="1:37" ht="24.75" customHeight="1">
      <c r="A8" s="19"/>
      <c r="B8" s="19"/>
      <c r="C8" s="19"/>
      <c r="D8" s="11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0</v>
      </c>
      <c r="I8" s="5">
        <f t="shared" si="2"/>
        <v>1.9844961240310006</v>
      </c>
      <c r="J8" s="5">
        <f t="shared" si="2"/>
        <v>0</v>
      </c>
      <c r="K8" s="5">
        <f t="shared" si="2"/>
        <v>0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7.6155038759689919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0</v>
      </c>
      <c r="V8" s="5">
        <f t="shared" si="2"/>
        <v>0</v>
      </c>
      <c r="W8" s="5">
        <f t="shared" si="2"/>
        <v>0</v>
      </c>
      <c r="X8" s="5">
        <f t="shared" si="2"/>
        <v>0</v>
      </c>
      <c r="Y8" s="5">
        <f t="shared" si="2"/>
        <v>0</v>
      </c>
      <c r="Z8" s="5">
        <f t="shared" si="2"/>
        <v>0</v>
      </c>
      <c r="AA8" s="5">
        <f t="shared" si="2"/>
        <v>0</v>
      </c>
      <c r="AB8" s="5">
        <f t="shared" si="2"/>
        <v>0</v>
      </c>
      <c r="AC8" s="5">
        <f t="shared" si="2"/>
        <v>0</v>
      </c>
      <c r="AD8" s="5">
        <f t="shared" si="2"/>
        <v>-14.015503875968989</v>
      </c>
      <c r="AE8" s="5">
        <f t="shared" si="2"/>
        <v>0</v>
      </c>
      <c r="AF8" s="5">
        <f t="shared" si="2"/>
        <v>0</v>
      </c>
      <c r="AG8" s="5">
        <f t="shared" si="2"/>
        <v>-7.441860465116279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1" t="s">
        <v>2</v>
      </c>
      <c r="E9" s="2">
        <v>2.5</v>
      </c>
      <c r="F9" s="3">
        <v>2.5</v>
      </c>
      <c r="G9" s="3">
        <v>2.5</v>
      </c>
      <c r="H9" s="3">
        <v>2.5</v>
      </c>
      <c r="I9" s="3">
        <v>1.81</v>
      </c>
      <c r="J9" s="3">
        <v>2.5</v>
      </c>
      <c r="K9" s="3">
        <v>2.5</v>
      </c>
      <c r="L9" s="3">
        <v>2.5</v>
      </c>
      <c r="M9" s="3">
        <v>2.5</v>
      </c>
      <c r="N9" s="3">
        <v>2.5</v>
      </c>
      <c r="O9" s="3">
        <v>2.5</v>
      </c>
      <c r="P9" s="3">
        <v>2.5</v>
      </c>
      <c r="Q9" s="3">
        <v>0.54</v>
      </c>
      <c r="R9" s="3">
        <v>2.5</v>
      </c>
      <c r="S9" s="3">
        <v>2.5</v>
      </c>
      <c r="T9" s="3">
        <v>2.5</v>
      </c>
      <c r="U9" s="3">
        <v>2</v>
      </c>
      <c r="V9" s="3">
        <v>2.5</v>
      </c>
      <c r="W9" s="3">
        <v>2.5</v>
      </c>
      <c r="X9" s="3">
        <v>2.5</v>
      </c>
      <c r="Y9" s="3">
        <v>2.5</v>
      </c>
      <c r="Z9" s="3">
        <v>2.5</v>
      </c>
      <c r="AA9" s="3">
        <v>2.5</v>
      </c>
      <c r="AB9" s="3">
        <v>2.5</v>
      </c>
      <c r="AC9" s="3">
        <v>2.5</v>
      </c>
      <c r="AD9" s="3">
        <v>1.68</v>
      </c>
      <c r="AE9" s="3">
        <v>2.5</v>
      </c>
      <c r="AF9" s="3">
        <v>2.5</v>
      </c>
      <c r="AG9" s="3">
        <v>0.54</v>
      </c>
      <c r="AH9" s="3">
        <v>2.5</v>
      </c>
      <c r="AI9" s="4">
        <v>2.5</v>
      </c>
      <c r="AJ9" s="19">
        <f>SUM(E10:AI10)</f>
        <v>4744</v>
      </c>
      <c r="AK9" s="19">
        <f>+B9-AJ9</f>
        <v>-4744</v>
      </c>
    </row>
    <row r="10" spans="1:37" ht="24.75" customHeight="1">
      <c r="A10" s="19"/>
      <c r="B10" s="19"/>
      <c r="C10" s="19"/>
      <c r="D10" s="11" t="s">
        <v>3</v>
      </c>
      <c r="E10" s="5">
        <f>+(2.5-E9)*800</f>
        <v>0</v>
      </c>
      <c r="F10" s="6">
        <f t="shared" ref="F10:AI10" si="3">+(2.5-F9)*800</f>
        <v>0</v>
      </c>
      <c r="G10" s="6">
        <f t="shared" si="3"/>
        <v>0</v>
      </c>
      <c r="H10" s="6">
        <f t="shared" si="3"/>
        <v>0</v>
      </c>
      <c r="I10" s="6">
        <f t="shared" si="3"/>
        <v>552</v>
      </c>
      <c r="J10" s="6">
        <f t="shared" si="3"/>
        <v>0</v>
      </c>
      <c r="K10" s="6">
        <f t="shared" si="3"/>
        <v>0</v>
      </c>
      <c r="L10" s="6">
        <f t="shared" si="3"/>
        <v>0</v>
      </c>
      <c r="M10" s="6">
        <f t="shared" si="3"/>
        <v>0</v>
      </c>
      <c r="N10" s="6">
        <f t="shared" si="3"/>
        <v>0</v>
      </c>
      <c r="O10" s="6">
        <f t="shared" si="3"/>
        <v>0</v>
      </c>
      <c r="P10" s="6">
        <f t="shared" si="3"/>
        <v>0</v>
      </c>
      <c r="Q10" s="6">
        <f t="shared" si="3"/>
        <v>1568</v>
      </c>
      <c r="R10" s="6">
        <f t="shared" si="3"/>
        <v>0</v>
      </c>
      <c r="S10" s="6">
        <f t="shared" si="3"/>
        <v>0</v>
      </c>
      <c r="T10" s="6">
        <f t="shared" si="3"/>
        <v>0</v>
      </c>
      <c r="U10" s="6">
        <f t="shared" si="3"/>
        <v>400</v>
      </c>
      <c r="V10" s="6">
        <f t="shared" si="3"/>
        <v>0</v>
      </c>
      <c r="W10" s="6">
        <f t="shared" si="3"/>
        <v>0</v>
      </c>
      <c r="X10" s="6">
        <f t="shared" si="3"/>
        <v>0</v>
      </c>
      <c r="Y10" s="6">
        <f t="shared" si="3"/>
        <v>0</v>
      </c>
      <c r="Z10" s="6">
        <f t="shared" si="3"/>
        <v>0</v>
      </c>
      <c r="AA10" s="6">
        <f t="shared" si="3"/>
        <v>0</v>
      </c>
      <c r="AB10" s="6">
        <f t="shared" si="3"/>
        <v>0</v>
      </c>
      <c r="AC10" s="6">
        <f t="shared" si="3"/>
        <v>0</v>
      </c>
      <c r="AD10" s="6">
        <f>+(2.5-AD9)*800</f>
        <v>656</v>
      </c>
      <c r="AE10" s="6">
        <f t="shared" si="3"/>
        <v>0</v>
      </c>
      <c r="AF10" s="6">
        <f t="shared" si="3"/>
        <v>0</v>
      </c>
      <c r="AG10" s="6">
        <f t="shared" si="3"/>
        <v>1568</v>
      </c>
      <c r="AH10" s="6">
        <f t="shared" si="3"/>
        <v>0</v>
      </c>
      <c r="AI10" s="7">
        <f t="shared" si="3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1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200</v>
      </c>
      <c r="AK11" s="19">
        <f>+B11-AJ11</f>
        <v>-200</v>
      </c>
    </row>
    <row r="12" spans="1:37" ht="24.75" customHeight="1">
      <c r="A12" s="19"/>
      <c r="B12" s="19"/>
      <c r="C12" s="19"/>
      <c r="D12" s="11" t="s">
        <v>3</v>
      </c>
      <c r="E12" s="5">
        <f>+(2-E11)*800</f>
        <v>0</v>
      </c>
      <c r="F12" s="6">
        <f t="shared" ref="F12:AI12" si="4">+(2-F11)*800</f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0</v>
      </c>
      <c r="Z12" s="6"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0</v>
      </c>
      <c r="AE12" s="6">
        <f t="shared" si="4"/>
        <v>0</v>
      </c>
      <c r="AF12" s="6">
        <f t="shared" si="4"/>
        <v>0</v>
      </c>
      <c r="AG12" s="6">
        <v>200</v>
      </c>
      <c r="AH12" s="6">
        <f t="shared" si="4"/>
        <v>0</v>
      </c>
      <c r="AI12" s="7">
        <f t="shared" si="4"/>
        <v>0</v>
      </c>
      <c r="AJ12" s="19"/>
      <c r="AK12" s="19"/>
    </row>
  </sheetData>
  <mergeCells count="26">
    <mergeCell ref="A1:AK1"/>
    <mergeCell ref="A3:A4"/>
    <mergeCell ref="B3:B4"/>
    <mergeCell ref="C3:C4"/>
    <mergeCell ref="AJ3:AJ4"/>
    <mergeCell ref="AK3:AK4"/>
    <mergeCell ref="A7:A8"/>
    <mergeCell ref="B7:B8"/>
    <mergeCell ref="C7:C8"/>
    <mergeCell ref="AJ7:AJ8"/>
    <mergeCell ref="AK7:AK8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  <mergeCell ref="A9:A10"/>
    <mergeCell ref="B9:B10"/>
    <mergeCell ref="C9:C10"/>
    <mergeCell ref="AJ9:AJ10"/>
    <mergeCell ref="AK9:AK10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9"/>
  <sheetViews>
    <sheetView workbookViewId="0">
      <selection activeCell="AC10" sqref="AC10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2" t="s">
        <v>0</v>
      </c>
      <c r="B2" s="12" t="s">
        <v>1</v>
      </c>
      <c r="C2" s="12" t="s">
        <v>6</v>
      </c>
      <c r="D2" s="12"/>
      <c r="E2" s="12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  <c r="L2" s="12">
        <v>8</v>
      </c>
      <c r="M2" s="12">
        <v>9</v>
      </c>
      <c r="N2" s="12">
        <v>10</v>
      </c>
      <c r="O2" s="12">
        <v>11</v>
      </c>
      <c r="P2" s="12">
        <v>12</v>
      </c>
      <c r="Q2" s="12">
        <v>13</v>
      </c>
      <c r="R2" s="12">
        <v>14</v>
      </c>
      <c r="S2" s="12">
        <v>15</v>
      </c>
      <c r="T2" s="12">
        <v>16</v>
      </c>
      <c r="U2" s="12">
        <v>17</v>
      </c>
      <c r="V2" s="12">
        <v>18</v>
      </c>
      <c r="W2" s="12">
        <v>19</v>
      </c>
      <c r="X2" s="12">
        <v>20</v>
      </c>
      <c r="Y2" s="12">
        <v>21</v>
      </c>
      <c r="Z2" s="12">
        <v>22</v>
      </c>
      <c r="AA2" s="12">
        <v>23</v>
      </c>
      <c r="AB2" s="12">
        <v>24</v>
      </c>
      <c r="AC2" s="12">
        <v>25</v>
      </c>
      <c r="AD2" s="12">
        <v>26</v>
      </c>
      <c r="AE2" s="12">
        <v>27</v>
      </c>
      <c r="AF2" s="12">
        <v>28</v>
      </c>
      <c r="AG2" s="12">
        <v>29</v>
      </c>
      <c r="AH2" s="12">
        <v>30</v>
      </c>
      <c r="AI2" s="12">
        <v>31</v>
      </c>
      <c r="AJ2" s="12" t="s">
        <v>5</v>
      </c>
      <c r="AK2" s="12" t="s">
        <v>4</v>
      </c>
    </row>
    <row r="3" spans="1:37" ht="24.75" customHeight="1">
      <c r="A3" s="19" t="s">
        <v>8</v>
      </c>
      <c r="B3" s="19"/>
      <c r="C3" s="19" t="s">
        <v>7</v>
      </c>
      <c r="D3" s="12" t="s">
        <v>2</v>
      </c>
      <c r="E3" s="2">
        <v>9</v>
      </c>
      <c r="F3" s="3">
        <v>9</v>
      </c>
      <c r="G3" s="3">
        <v>9</v>
      </c>
      <c r="H3" s="3">
        <v>7.78</v>
      </c>
      <c r="I3" s="3">
        <v>9</v>
      </c>
      <c r="J3" s="3">
        <v>9</v>
      </c>
      <c r="K3" s="3">
        <v>9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9</v>
      </c>
      <c r="T3" s="3">
        <v>9</v>
      </c>
      <c r="U3" s="3">
        <v>7.15</v>
      </c>
      <c r="V3" s="3">
        <v>9</v>
      </c>
      <c r="W3" s="3">
        <v>9</v>
      </c>
      <c r="X3" s="3">
        <v>9</v>
      </c>
      <c r="Y3" s="3">
        <v>8.3000000000000007</v>
      </c>
      <c r="Z3" s="3">
        <f>1.5*5.72</f>
        <v>8.58</v>
      </c>
      <c r="AA3" s="3">
        <v>9</v>
      </c>
      <c r="AB3" s="3">
        <v>9</v>
      </c>
      <c r="AC3" s="3">
        <v>9</v>
      </c>
      <c r="AD3" s="3">
        <v>9</v>
      </c>
      <c r="AE3" s="3">
        <v>8</v>
      </c>
      <c r="AF3" s="3">
        <v>9</v>
      </c>
      <c r="AG3" s="3">
        <v>9</v>
      </c>
      <c r="AH3" s="3">
        <v>9.49</v>
      </c>
      <c r="AI3" s="4">
        <v>9</v>
      </c>
      <c r="AJ3" s="19">
        <f>SUM(E4:AI4)</f>
        <v>86.111111111111114</v>
      </c>
      <c r="AK3" s="19">
        <f>+B3-AJ3</f>
        <v>-86.111111111111114</v>
      </c>
    </row>
    <row r="4" spans="1:37" ht="24.75" customHeight="1">
      <c r="A4" s="19"/>
      <c r="B4" s="19"/>
      <c r="C4" s="19"/>
      <c r="D4" s="12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21.688888888888883</v>
      </c>
      <c r="I4" s="6">
        <f t="shared" si="0"/>
        <v>0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>+(9-M3)*800/45</f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32.888888888888886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v>10</v>
      </c>
      <c r="Z4" s="6">
        <f t="shared" si="0"/>
        <v>7.466666666666665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v>5</v>
      </c>
      <c r="AE4" s="6">
        <f t="shared" si="0"/>
        <v>17.777777777777779</v>
      </c>
      <c r="AF4" s="6">
        <f t="shared" si="0"/>
        <v>0</v>
      </c>
      <c r="AG4" s="6">
        <f t="shared" si="0"/>
        <v>0</v>
      </c>
      <c r="AH4" s="6">
        <f t="shared" si="0"/>
        <v>-8.7111111111111157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2" t="s">
        <v>2</v>
      </c>
      <c r="E5" s="2">
        <v>51.7</v>
      </c>
      <c r="F5" s="3">
        <v>51.7</v>
      </c>
      <c r="G5" s="3">
        <v>51.7</v>
      </c>
      <c r="H5" s="3">
        <v>46.2</v>
      </c>
      <c r="I5" s="3">
        <v>51.7</v>
      </c>
      <c r="J5" s="3">
        <v>51.7</v>
      </c>
      <c r="K5" s="3">
        <v>51.7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51.7</v>
      </c>
      <c r="R5" s="3">
        <v>51.7</v>
      </c>
      <c r="S5" s="3">
        <v>51.7</v>
      </c>
      <c r="T5" s="3">
        <v>51.7</v>
      </c>
      <c r="U5" s="3">
        <v>41.5</v>
      </c>
      <c r="V5" s="3">
        <v>51.7</v>
      </c>
      <c r="W5" s="3">
        <v>51.7</v>
      </c>
      <c r="X5" s="3">
        <v>51.7</v>
      </c>
      <c r="Y5" s="3">
        <v>52.3</v>
      </c>
      <c r="Z5" s="3">
        <v>49.9</v>
      </c>
      <c r="AA5" s="3">
        <v>51.7</v>
      </c>
      <c r="AB5" s="3">
        <v>51.7</v>
      </c>
      <c r="AC5" s="3">
        <v>51.7</v>
      </c>
      <c r="AD5" s="3">
        <v>51.7</v>
      </c>
      <c r="AE5" s="3">
        <v>50.5</v>
      </c>
      <c r="AF5" s="3">
        <v>51.7</v>
      </c>
      <c r="AG5" s="3">
        <v>51.7</v>
      </c>
      <c r="AH5" s="3">
        <v>46.04</v>
      </c>
      <c r="AI5" s="4">
        <v>51.7</v>
      </c>
      <c r="AJ5" s="19">
        <f>SUM(E6:AI6)</f>
        <v>80.932735426009032</v>
      </c>
      <c r="AK5" s="19">
        <f>+B5-AJ5</f>
        <v>-80.932735426009032</v>
      </c>
    </row>
    <row r="6" spans="1:37" ht="24.75" customHeight="1">
      <c r="A6" s="19"/>
      <c r="B6" s="19"/>
      <c r="C6" s="19"/>
      <c r="D6" s="12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19.730941704035875</v>
      </c>
      <c r="I6" s="6">
        <f t="shared" si="1"/>
        <v>0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36.591928251121082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-2.1524663677129841</v>
      </c>
      <c r="Z6" s="6">
        <f t="shared" si="1"/>
        <v>6.4573991031390285</v>
      </c>
      <c r="AA6" s="6">
        <f t="shared" si="1"/>
        <v>0</v>
      </c>
      <c r="AB6" s="6">
        <f t="shared" si="1"/>
        <v>0</v>
      </c>
      <c r="AC6" s="6">
        <f t="shared" si="1"/>
        <v>0</v>
      </c>
      <c r="AD6" s="6">
        <f t="shared" si="1"/>
        <v>0</v>
      </c>
      <c r="AE6" s="6">
        <v>0</v>
      </c>
      <c r="AF6" s="6">
        <f t="shared" si="1"/>
        <v>0</v>
      </c>
      <c r="AG6" s="6">
        <f t="shared" si="1"/>
        <v>0</v>
      </c>
      <c r="AH6" s="6">
        <f t="shared" si="1"/>
        <v>20.304932735426021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2" t="s">
        <v>2</v>
      </c>
      <c r="E7" s="2">
        <v>95</v>
      </c>
      <c r="F7" s="3">
        <v>95</v>
      </c>
      <c r="G7" s="3">
        <v>95</v>
      </c>
      <c r="H7" s="3">
        <v>96.3</v>
      </c>
      <c r="I7" s="3">
        <v>95</v>
      </c>
      <c r="J7" s="3">
        <v>95</v>
      </c>
      <c r="K7" s="3">
        <v>95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95</v>
      </c>
      <c r="R7" s="3">
        <v>95</v>
      </c>
      <c r="S7" s="3">
        <v>95</v>
      </c>
      <c r="T7" s="3">
        <v>95</v>
      </c>
      <c r="U7" s="3">
        <v>89.9</v>
      </c>
      <c r="V7" s="3">
        <v>95</v>
      </c>
      <c r="W7" s="3">
        <v>95</v>
      </c>
      <c r="X7" s="3">
        <v>95</v>
      </c>
      <c r="Y7" s="3">
        <v>89.3</v>
      </c>
      <c r="Z7" s="3">
        <v>102</v>
      </c>
      <c r="AA7" s="3">
        <v>95</v>
      </c>
      <c r="AB7" s="3">
        <v>95</v>
      </c>
      <c r="AC7" s="3">
        <v>95</v>
      </c>
      <c r="AD7" s="3">
        <v>95</v>
      </c>
      <c r="AE7" s="3">
        <v>99.1</v>
      </c>
      <c r="AF7" s="3">
        <v>95</v>
      </c>
      <c r="AG7" s="3">
        <v>95</v>
      </c>
      <c r="AH7" s="3">
        <v>97.29</v>
      </c>
      <c r="AI7" s="4">
        <v>95</v>
      </c>
      <c r="AJ7" s="19">
        <f>SUM(E8:AI8)</f>
        <v>-4.8248062015503876</v>
      </c>
      <c r="AK7" s="19">
        <f>+B7-AJ7</f>
        <v>4.8248062015503876</v>
      </c>
    </row>
    <row r="8" spans="1:37" ht="24.75" customHeight="1">
      <c r="A8" s="19"/>
      <c r="B8" s="19"/>
      <c r="C8" s="19"/>
      <c r="D8" s="12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-1.6124031007751902</v>
      </c>
      <c r="I8" s="5">
        <f t="shared" si="2"/>
        <v>0</v>
      </c>
      <c r="J8" s="5">
        <f t="shared" si="2"/>
        <v>0</v>
      </c>
      <c r="K8" s="5">
        <f t="shared" si="2"/>
        <v>0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0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6.3255813953488298</v>
      </c>
      <c r="V8" s="5">
        <f t="shared" si="2"/>
        <v>0</v>
      </c>
      <c r="W8" s="5">
        <f t="shared" si="2"/>
        <v>0</v>
      </c>
      <c r="X8" s="5">
        <f t="shared" si="2"/>
        <v>0</v>
      </c>
      <c r="Y8" s="5">
        <f t="shared" si="2"/>
        <v>7.0697674418604679</v>
      </c>
      <c r="Z8" s="5">
        <f t="shared" si="2"/>
        <v>-8.6821705426356584</v>
      </c>
      <c r="AA8" s="5">
        <f t="shared" si="2"/>
        <v>0</v>
      </c>
      <c r="AB8" s="5">
        <f t="shared" si="2"/>
        <v>0</v>
      </c>
      <c r="AC8" s="5">
        <f t="shared" si="2"/>
        <v>0</v>
      </c>
      <c r="AD8" s="5">
        <f t="shared" si="2"/>
        <v>0</v>
      </c>
      <c r="AE8" s="5">
        <f t="shared" si="2"/>
        <v>-5.0852713178294504</v>
      </c>
      <c r="AF8" s="5">
        <f t="shared" si="2"/>
        <v>0</v>
      </c>
      <c r="AG8" s="5">
        <f t="shared" si="2"/>
        <v>0</v>
      </c>
      <c r="AH8" s="5">
        <f t="shared" si="2"/>
        <v>-2.8403100775193875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2" t="s">
        <v>2</v>
      </c>
      <c r="E9" s="2">
        <v>2.5</v>
      </c>
      <c r="F9" s="3">
        <v>2.5</v>
      </c>
      <c r="G9" s="3">
        <v>2.5</v>
      </c>
      <c r="H9" s="3">
        <v>1.26</v>
      </c>
      <c r="I9" s="3">
        <v>2.5</v>
      </c>
      <c r="J9" s="3">
        <v>2.5</v>
      </c>
      <c r="K9" s="3">
        <v>2.5</v>
      </c>
      <c r="L9" s="3">
        <v>2.5</v>
      </c>
      <c r="M9" s="3">
        <v>2.5</v>
      </c>
      <c r="N9" s="3">
        <v>2.5</v>
      </c>
      <c r="O9" s="3">
        <v>2.5</v>
      </c>
      <c r="P9" s="3">
        <v>2.5</v>
      </c>
      <c r="Q9" s="3">
        <v>2.5</v>
      </c>
      <c r="R9" s="3">
        <v>2.5</v>
      </c>
      <c r="S9" s="3">
        <v>2.5</v>
      </c>
      <c r="T9" s="3">
        <v>2.5</v>
      </c>
      <c r="U9" s="3">
        <v>1.19</v>
      </c>
      <c r="V9" s="3">
        <v>2.5</v>
      </c>
      <c r="W9" s="3">
        <v>2.5</v>
      </c>
      <c r="X9" s="3">
        <v>2.5</v>
      </c>
      <c r="Y9" s="3">
        <v>1.2</v>
      </c>
      <c r="Z9" s="3">
        <v>1.1200000000000001</v>
      </c>
      <c r="AA9" s="3">
        <v>2.5</v>
      </c>
      <c r="AB9" s="3">
        <v>2.5</v>
      </c>
      <c r="AC9" s="3">
        <v>2.5</v>
      </c>
      <c r="AD9" s="3">
        <v>2.5</v>
      </c>
      <c r="AE9" s="3">
        <v>1.1200000000000001</v>
      </c>
      <c r="AF9" s="3">
        <v>2.5</v>
      </c>
      <c r="AG9" s="3">
        <v>2.5</v>
      </c>
      <c r="AH9" s="3">
        <v>4.58</v>
      </c>
      <c r="AI9" s="4">
        <v>2.5</v>
      </c>
      <c r="AJ9" s="19">
        <f>SUM(E10:AI10)</f>
        <v>3624</v>
      </c>
      <c r="AK9" s="19">
        <f>+B9-AJ9</f>
        <v>-3624</v>
      </c>
    </row>
    <row r="10" spans="1:37" ht="24.75" customHeight="1">
      <c r="A10" s="19"/>
      <c r="B10" s="19"/>
      <c r="C10" s="19"/>
      <c r="D10" s="12" t="s">
        <v>3</v>
      </c>
      <c r="E10" s="5">
        <f>+(2.5-E9)*800</f>
        <v>0</v>
      </c>
      <c r="F10" s="6">
        <f t="shared" ref="F10:AI10" si="3">+(2.5-F9)*800</f>
        <v>0</v>
      </c>
      <c r="G10" s="6">
        <f t="shared" si="3"/>
        <v>0</v>
      </c>
      <c r="H10" s="6">
        <f t="shared" si="3"/>
        <v>992</v>
      </c>
      <c r="I10" s="6">
        <f t="shared" si="3"/>
        <v>0</v>
      </c>
      <c r="J10" s="6">
        <f t="shared" si="3"/>
        <v>0</v>
      </c>
      <c r="K10" s="6">
        <f t="shared" si="3"/>
        <v>0</v>
      </c>
      <c r="L10" s="6">
        <f t="shared" si="3"/>
        <v>0</v>
      </c>
      <c r="M10" s="6">
        <f t="shared" si="3"/>
        <v>0</v>
      </c>
      <c r="N10" s="6">
        <f t="shared" si="3"/>
        <v>0</v>
      </c>
      <c r="O10" s="6">
        <f t="shared" si="3"/>
        <v>0</v>
      </c>
      <c r="P10" s="6">
        <f t="shared" si="3"/>
        <v>0</v>
      </c>
      <c r="Q10" s="6">
        <f t="shared" si="3"/>
        <v>0</v>
      </c>
      <c r="R10" s="6">
        <f t="shared" si="3"/>
        <v>0</v>
      </c>
      <c r="S10" s="6">
        <f t="shared" si="3"/>
        <v>0</v>
      </c>
      <c r="T10" s="6">
        <f t="shared" si="3"/>
        <v>0</v>
      </c>
      <c r="U10" s="6">
        <f t="shared" si="3"/>
        <v>1048</v>
      </c>
      <c r="V10" s="6">
        <f t="shared" si="3"/>
        <v>0</v>
      </c>
      <c r="W10" s="6">
        <f t="shared" si="3"/>
        <v>0</v>
      </c>
      <c r="X10" s="6">
        <f t="shared" si="3"/>
        <v>0</v>
      </c>
      <c r="Y10" s="6">
        <f t="shared" si="3"/>
        <v>1040</v>
      </c>
      <c r="Z10" s="6">
        <f t="shared" si="3"/>
        <v>1104</v>
      </c>
      <c r="AA10" s="6">
        <f t="shared" si="3"/>
        <v>0</v>
      </c>
      <c r="AB10" s="6">
        <f t="shared" si="3"/>
        <v>0</v>
      </c>
      <c r="AC10" s="6">
        <f t="shared" si="3"/>
        <v>0</v>
      </c>
      <c r="AD10" s="6">
        <f>+(2.5-AD9)*800</f>
        <v>0</v>
      </c>
      <c r="AE10" s="6">
        <f t="shared" si="3"/>
        <v>1104</v>
      </c>
      <c r="AF10" s="6">
        <f t="shared" si="3"/>
        <v>0</v>
      </c>
      <c r="AG10" s="6">
        <f t="shared" si="3"/>
        <v>0</v>
      </c>
      <c r="AH10" s="6">
        <f t="shared" si="3"/>
        <v>-1664</v>
      </c>
      <c r="AI10" s="7">
        <f t="shared" si="3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2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12" t="s">
        <v>3</v>
      </c>
      <c r="E12" s="5">
        <f>+(2-E11)*800</f>
        <v>0</v>
      </c>
      <c r="F12" s="6">
        <f t="shared" ref="F12:AI12" si="4">+(2-F11)*800</f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0</v>
      </c>
      <c r="Z12" s="6"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0</v>
      </c>
      <c r="AE12" s="6">
        <f t="shared" si="4"/>
        <v>0</v>
      </c>
      <c r="AF12" s="6">
        <f t="shared" si="4"/>
        <v>0</v>
      </c>
      <c r="AG12" s="6">
        <f t="shared" si="4"/>
        <v>0</v>
      </c>
      <c r="AH12" s="6">
        <f t="shared" si="4"/>
        <v>0</v>
      </c>
      <c r="AI12" s="7">
        <f t="shared" si="4"/>
        <v>0</v>
      </c>
      <c r="AJ12" s="19"/>
      <c r="AK12" s="19"/>
    </row>
    <row r="19" spans="20:20">
      <c r="T19">
        <f>18*45/800</f>
        <v>1.0125</v>
      </c>
    </row>
  </sheetData>
  <mergeCells count="26">
    <mergeCell ref="A1:AK1"/>
    <mergeCell ref="A3:A4"/>
    <mergeCell ref="B3:B4"/>
    <mergeCell ref="C3:C4"/>
    <mergeCell ref="AJ3:AJ4"/>
    <mergeCell ref="AK3:AK4"/>
    <mergeCell ref="A7:A8"/>
    <mergeCell ref="B7:B8"/>
    <mergeCell ref="C7:C8"/>
    <mergeCell ref="AJ7:AJ8"/>
    <mergeCell ref="AK7:AK8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  <mergeCell ref="A9:A10"/>
    <mergeCell ref="B9:B10"/>
    <mergeCell ref="C9:C10"/>
    <mergeCell ref="AJ9:AJ10"/>
    <mergeCell ref="AK9:AK1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AA10" sqref="AA10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3" t="s">
        <v>0</v>
      </c>
      <c r="B2" s="13" t="s">
        <v>1</v>
      </c>
      <c r="C2" s="13" t="s">
        <v>6</v>
      </c>
      <c r="D2" s="13"/>
      <c r="E2" s="13">
        <v>1</v>
      </c>
      <c r="F2" s="13">
        <v>2</v>
      </c>
      <c r="G2" s="13">
        <v>3</v>
      </c>
      <c r="H2" s="13">
        <v>4</v>
      </c>
      <c r="I2" s="13">
        <v>5</v>
      </c>
      <c r="J2" s="13">
        <v>6</v>
      </c>
      <c r="K2" s="13">
        <v>7</v>
      </c>
      <c r="L2" s="13">
        <v>8</v>
      </c>
      <c r="M2" s="13">
        <v>9</v>
      </c>
      <c r="N2" s="13">
        <v>10</v>
      </c>
      <c r="O2" s="13">
        <v>11</v>
      </c>
      <c r="P2" s="13">
        <v>12</v>
      </c>
      <c r="Q2" s="13">
        <v>13</v>
      </c>
      <c r="R2" s="13">
        <v>14</v>
      </c>
      <c r="S2" s="13">
        <v>15</v>
      </c>
      <c r="T2" s="13">
        <v>16</v>
      </c>
      <c r="U2" s="13">
        <v>17</v>
      </c>
      <c r="V2" s="13">
        <v>18</v>
      </c>
      <c r="W2" s="13">
        <v>19</v>
      </c>
      <c r="X2" s="13">
        <v>20</v>
      </c>
      <c r="Y2" s="13">
        <v>21</v>
      </c>
      <c r="Z2" s="13">
        <v>22</v>
      </c>
      <c r="AA2" s="13">
        <v>23</v>
      </c>
      <c r="AB2" s="13">
        <v>24</v>
      </c>
      <c r="AC2" s="13">
        <v>25</v>
      </c>
      <c r="AD2" s="13">
        <v>26</v>
      </c>
      <c r="AE2" s="13">
        <v>27</v>
      </c>
      <c r="AF2" s="13">
        <v>28</v>
      </c>
      <c r="AG2" s="13">
        <v>29</v>
      </c>
      <c r="AH2" s="13">
        <v>30</v>
      </c>
      <c r="AI2" s="13">
        <v>31</v>
      </c>
      <c r="AJ2" s="13" t="s">
        <v>5</v>
      </c>
      <c r="AK2" s="13" t="s">
        <v>4</v>
      </c>
    </row>
    <row r="3" spans="1:37" ht="24.75" customHeight="1">
      <c r="A3" s="19" t="s">
        <v>8</v>
      </c>
      <c r="B3" s="19"/>
      <c r="C3" s="19" t="s">
        <v>7</v>
      </c>
      <c r="D3" s="13" t="s">
        <v>2</v>
      </c>
      <c r="E3" s="2">
        <v>9</v>
      </c>
      <c r="F3" s="3">
        <v>9</v>
      </c>
      <c r="G3" s="3">
        <v>9</v>
      </c>
      <c r="H3" s="3">
        <v>9</v>
      </c>
      <c r="I3" s="3">
        <v>9</v>
      </c>
      <c r="J3" s="3">
        <v>9</v>
      </c>
      <c r="K3" s="3">
        <v>9</v>
      </c>
      <c r="L3" s="3">
        <v>9</v>
      </c>
      <c r="M3" s="3">
        <v>9</v>
      </c>
      <c r="N3" s="3">
        <v>9</v>
      </c>
      <c r="O3" s="3">
        <v>7.44</v>
      </c>
      <c r="P3" s="3">
        <v>9</v>
      </c>
      <c r="Q3" s="3">
        <v>9</v>
      </c>
      <c r="R3" s="3">
        <v>9</v>
      </c>
      <c r="S3" s="3">
        <v>9</v>
      </c>
      <c r="T3" s="3">
        <v>9</v>
      </c>
      <c r="U3" s="3">
        <v>9</v>
      </c>
      <c r="V3" s="3">
        <v>7.78</v>
      </c>
      <c r="W3" s="3">
        <v>9</v>
      </c>
      <c r="X3" s="3">
        <v>9</v>
      </c>
      <c r="Y3" s="3">
        <v>9</v>
      </c>
      <c r="Z3" s="3">
        <v>9</v>
      </c>
      <c r="AA3" s="3">
        <v>8.58</v>
      </c>
      <c r="AB3" s="3">
        <v>9</v>
      </c>
      <c r="AC3" s="3">
        <v>9</v>
      </c>
      <c r="AD3" s="3">
        <v>9</v>
      </c>
      <c r="AE3" s="3">
        <v>9</v>
      </c>
      <c r="AF3" s="3">
        <v>9</v>
      </c>
      <c r="AG3" s="3">
        <v>9</v>
      </c>
      <c r="AH3" s="3">
        <v>9</v>
      </c>
      <c r="AI3" s="4">
        <v>9</v>
      </c>
      <c r="AJ3" s="19">
        <f>SUM(E4:AI4)</f>
        <v>61.888888888888872</v>
      </c>
      <c r="AK3" s="19">
        <f>+B3-AJ3</f>
        <v>-61.888888888888872</v>
      </c>
    </row>
    <row r="4" spans="1:37" ht="24.75" customHeight="1">
      <c r="A4" s="19"/>
      <c r="B4" s="19"/>
      <c r="C4" s="19"/>
      <c r="D4" s="13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>+(9-M3)*800/45</f>
        <v>0</v>
      </c>
      <c r="N4" s="6">
        <f t="shared" si="0"/>
        <v>0</v>
      </c>
      <c r="O4" s="6">
        <f t="shared" si="0"/>
        <v>27.733333333333327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21.688888888888883</v>
      </c>
      <c r="W4" s="6">
        <f t="shared" si="0"/>
        <v>0</v>
      </c>
      <c r="X4" s="6">
        <f t="shared" si="0"/>
        <v>0</v>
      </c>
      <c r="Y4" s="6">
        <v>0</v>
      </c>
      <c r="Z4" s="6">
        <f t="shared" si="0"/>
        <v>0</v>
      </c>
      <c r="AA4" s="6">
        <f t="shared" si="0"/>
        <v>7.466666666666665</v>
      </c>
      <c r="AB4" s="6">
        <f t="shared" si="0"/>
        <v>0</v>
      </c>
      <c r="AC4" s="6">
        <f t="shared" si="0"/>
        <v>0</v>
      </c>
      <c r="AD4" s="6">
        <v>5</v>
      </c>
      <c r="AE4" s="6">
        <f t="shared" si="0"/>
        <v>0</v>
      </c>
      <c r="AF4" s="6">
        <f t="shared" si="0"/>
        <v>0</v>
      </c>
      <c r="AG4" s="6">
        <f t="shared" si="0"/>
        <v>0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3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51.7</v>
      </c>
      <c r="J5" s="3">
        <v>51.7</v>
      </c>
      <c r="K5" s="3">
        <v>51.7</v>
      </c>
      <c r="L5" s="3">
        <v>51.7</v>
      </c>
      <c r="M5" s="3">
        <v>51.7</v>
      </c>
      <c r="N5" s="3">
        <v>51.7</v>
      </c>
      <c r="O5" s="3">
        <v>49.1</v>
      </c>
      <c r="P5" s="3">
        <v>51.7</v>
      </c>
      <c r="Q5" s="3">
        <v>51.7</v>
      </c>
      <c r="R5" s="3">
        <v>51.7</v>
      </c>
      <c r="S5" s="3">
        <v>51.7</v>
      </c>
      <c r="T5" s="3">
        <v>51.7</v>
      </c>
      <c r="U5" s="3">
        <v>51.7</v>
      </c>
      <c r="V5" s="3">
        <v>47.1</v>
      </c>
      <c r="W5" s="3">
        <v>51.7</v>
      </c>
      <c r="X5" s="3">
        <v>51.7</v>
      </c>
      <c r="Y5" s="3">
        <v>51.7</v>
      </c>
      <c r="Z5" s="3">
        <v>51.7</v>
      </c>
      <c r="AA5" s="3">
        <v>48.89</v>
      </c>
      <c r="AB5" s="3">
        <v>51.7</v>
      </c>
      <c r="AC5" s="3">
        <v>51.7</v>
      </c>
      <c r="AD5" s="3">
        <v>51.7</v>
      </c>
      <c r="AE5" s="3">
        <v>51.7</v>
      </c>
      <c r="AF5" s="3">
        <v>51.7</v>
      </c>
      <c r="AG5" s="3">
        <v>51.7</v>
      </c>
      <c r="AH5" s="3">
        <v>51.7</v>
      </c>
      <c r="AI5" s="3">
        <v>51.7</v>
      </c>
      <c r="AJ5" s="19">
        <f>SUM(E6:AI6)</f>
        <v>35.910313901345312</v>
      </c>
      <c r="AK5" s="19">
        <f>+B5-AJ5</f>
        <v>-35.910313901345312</v>
      </c>
    </row>
    <row r="6" spans="1:37" ht="24.75" customHeight="1">
      <c r="A6" s="19"/>
      <c r="B6" s="19"/>
      <c r="C6" s="19"/>
      <c r="D6" s="13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0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9.3273542600896899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16.502242152466373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0</v>
      </c>
      <c r="AA6" s="6">
        <f t="shared" si="1"/>
        <v>10.080717488789245</v>
      </c>
      <c r="AB6" s="6">
        <f t="shared" si="1"/>
        <v>0</v>
      </c>
      <c r="AC6" s="6">
        <f t="shared" si="1"/>
        <v>0</v>
      </c>
      <c r="AD6" s="6">
        <f t="shared" si="1"/>
        <v>0</v>
      </c>
      <c r="AE6" s="6">
        <v>0</v>
      </c>
      <c r="AF6" s="6">
        <f t="shared" si="1"/>
        <v>0</v>
      </c>
      <c r="AG6" s="6">
        <f t="shared" si="1"/>
        <v>0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3" t="s">
        <v>2</v>
      </c>
      <c r="E7" s="2">
        <v>95</v>
      </c>
      <c r="F7" s="3">
        <v>95</v>
      </c>
      <c r="G7" s="3">
        <v>95</v>
      </c>
      <c r="H7" s="3">
        <v>95</v>
      </c>
      <c r="I7" s="3">
        <v>95</v>
      </c>
      <c r="J7" s="3">
        <v>95</v>
      </c>
      <c r="K7" s="3">
        <v>95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95</v>
      </c>
      <c r="R7" s="3">
        <v>95</v>
      </c>
      <c r="S7" s="3">
        <v>95</v>
      </c>
      <c r="T7" s="3">
        <v>95</v>
      </c>
      <c r="U7" s="3">
        <v>95</v>
      </c>
      <c r="V7" s="3">
        <v>82.44</v>
      </c>
      <c r="W7" s="3">
        <v>95</v>
      </c>
      <c r="X7" s="3">
        <v>95</v>
      </c>
      <c r="Y7" s="3">
        <v>95</v>
      </c>
      <c r="Z7" s="3">
        <v>95</v>
      </c>
      <c r="AA7" s="3">
        <v>90.74</v>
      </c>
      <c r="AB7" s="3">
        <v>95</v>
      </c>
      <c r="AC7" s="3">
        <v>95</v>
      </c>
      <c r="AD7" s="3">
        <v>95</v>
      </c>
      <c r="AE7" s="3">
        <v>95</v>
      </c>
      <c r="AF7" s="3">
        <v>95</v>
      </c>
      <c r="AG7" s="3">
        <v>95</v>
      </c>
      <c r="AH7" s="3">
        <v>95</v>
      </c>
      <c r="AI7" s="3">
        <v>95</v>
      </c>
      <c r="AJ7" s="19">
        <f>SUM(E8:AI8)</f>
        <v>20.862015503875977</v>
      </c>
      <c r="AK7" s="19">
        <f>+B7-AJ7</f>
        <v>-20.862015503875977</v>
      </c>
    </row>
    <row r="8" spans="1:37" ht="24.75" customHeight="1">
      <c r="A8" s="19"/>
      <c r="B8" s="19"/>
      <c r="C8" s="19"/>
      <c r="D8" s="13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0</v>
      </c>
      <c r="I8" s="5">
        <f t="shared" si="2"/>
        <v>0</v>
      </c>
      <c r="J8" s="5">
        <f t="shared" si="2"/>
        <v>0</v>
      </c>
      <c r="K8" s="5">
        <f t="shared" si="2"/>
        <v>0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0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0</v>
      </c>
      <c r="V8" s="5">
        <f t="shared" si="2"/>
        <v>15.578294573643413</v>
      </c>
      <c r="W8" s="5">
        <f t="shared" si="2"/>
        <v>0</v>
      </c>
      <c r="X8" s="5">
        <f t="shared" si="2"/>
        <v>0</v>
      </c>
      <c r="Y8" s="5">
        <f t="shared" si="2"/>
        <v>0</v>
      </c>
      <c r="Z8" s="5">
        <f t="shared" si="2"/>
        <v>0</v>
      </c>
      <c r="AA8" s="5">
        <f t="shared" si="2"/>
        <v>5.2837209302325645</v>
      </c>
      <c r="AB8" s="5">
        <f t="shared" si="2"/>
        <v>0</v>
      </c>
      <c r="AC8" s="5">
        <f t="shared" si="2"/>
        <v>0</v>
      </c>
      <c r="AD8" s="5">
        <f t="shared" si="2"/>
        <v>0</v>
      </c>
      <c r="AE8" s="5">
        <f t="shared" si="2"/>
        <v>0</v>
      </c>
      <c r="AF8" s="5">
        <f t="shared" si="2"/>
        <v>0</v>
      </c>
      <c r="AG8" s="5">
        <f t="shared" si="2"/>
        <v>0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3" t="s">
        <v>2</v>
      </c>
      <c r="E9" s="2">
        <v>2.5</v>
      </c>
      <c r="F9" s="3">
        <v>2.5</v>
      </c>
      <c r="G9" s="3">
        <v>2.5</v>
      </c>
      <c r="H9" s="3">
        <v>2.5</v>
      </c>
      <c r="I9" s="3">
        <v>2.5</v>
      </c>
      <c r="J9" s="3">
        <v>2.5</v>
      </c>
      <c r="K9" s="3">
        <v>2.5</v>
      </c>
      <c r="L9" s="3">
        <v>2.5</v>
      </c>
      <c r="M9" s="3">
        <v>2.5</v>
      </c>
      <c r="N9" s="3">
        <v>2.5</v>
      </c>
      <c r="O9" s="3">
        <v>1.4</v>
      </c>
      <c r="P9" s="3">
        <v>2.5</v>
      </c>
      <c r="Q9" s="3">
        <v>2.5</v>
      </c>
      <c r="R9" s="3">
        <v>2.5</v>
      </c>
      <c r="S9" s="3">
        <v>2.5</v>
      </c>
      <c r="T9" s="3">
        <v>2.5</v>
      </c>
      <c r="U9" s="3">
        <v>2.5</v>
      </c>
      <c r="V9" s="3">
        <v>0.77</v>
      </c>
      <c r="W9" s="3">
        <v>2.5</v>
      </c>
      <c r="X9" s="3">
        <v>2.5</v>
      </c>
      <c r="Y9" s="3">
        <v>2.5</v>
      </c>
      <c r="Z9" s="3">
        <v>2.5</v>
      </c>
      <c r="AA9" s="3">
        <v>1.19</v>
      </c>
      <c r="AB9" s="3">
        <v>2.5</v>
      </c>
      <c r="AC9" s="3">
        <v>2.5</v>
      </c>
      <c r="AD9" s="3">
        <v>2.5</v>
      </c>
      <c r="AE9" s="3">
        <v>2.5</v>
      </c>
      <c r="AF9" s="3">
        <v>2.5</v>
      </c>
      <c r="AG9" s="3">
        <v>2.5</v>
      </c>
      <c r="AH9" s="3">
        <v>2.5</v>
      </c>
      <c r="AI9" s="3">
        <v>2.5</v>
      </c>
      <c r="AJ9" s="19">
        <f>SUM(E10:AI10)</f>
        <v>3312</v>
      </c>
      <c r="AK9" s="19">
        <f>+B9-AJ9</f>
        <v>-3312</v>
      </c>
    </row>
    <row r="10" spans="1:37" ht="24.75" customHeight="1">
      <c r="A10" s="19"/>
      <c r="B10" s="19"/>
      <c r="C10" s="19"/>
      <c r="D10" s="13" t="s">
        <v>3</v>
      </c>
      <c r="E10" s="5">
        <f>+(2.5-E9)*800</f>
        <v>0</v>
      </c>
      <c r="F10" s="6">
        <f t="shared" ref="F10:AI10" si="3">+(2.5-F9)*800</f>
        <v>0</v>
      </c>
      <c r="G10" s="6">
        <f t="shared" si="3"/>
        <v>0</v>
      </c>
      <c r="H10" s="6">
        <f t="shared" si="3"/>
        <v>0</v>
      </c>
      <c r="I10" s="6">
        <f t="shared" si="3"/>
        <v>0</v>
      </c>
      <c r="J10" s="6">
        <f t="shared" si="3"/>
        <v>0</v>
      </c>
      <c r="K10" s="6">
        <f t="shared" si="3"/>
        <v>0</v>
      </c>
      <c r="L10" s="6">
        <f t="shared" si="3"/>
        <v>0</v>
      </c>
      <c r="M10" s="6">
        <f t="shared" si="3"/>
        <v>0</v>
      </c>
      <c r="N10" s="6">
        <f t="shared" si="3"/>
        <v>0</v>
      </c>
      <c r="O10" s="6">
        <f t="shared" si="3"/>
        <v>880.00000000000011</v>
      </c>
      <c r="P10" s="6">
        <f t="shared" si="3"/>
        <v>0</v>
      </c>
      <c r="Q10" s="6">
        <f t="shared" si="3"/>
        <v>0</v>
      </c>
      <c r="R10" s="6">
        <f t="shared" si="3"/>
        <v>0</v>
      </c>
      <c r="S10" s="6">
        <f t="shared" si="3"/>
        <v>0</v>
      </c>
      <c r="T10" s="6">
        <f t="shared" si="3"/>
        <v>0</v>
      </c>
      <c r="U10" s="6">
        <f t="shared" si="3"/>
        <v>0</v>
      </c>
      <c r="V10" s="6">
        <f t="shared" si="3"/>
        <v>1384</v>
      </c>
      <c r="W10" s="6">
        <f t="shared" si="3"/>
        <v>0</v>
      </c>
      <c r="X10" s="6">
        <f t="shared" si="3"/>
        <v>0</v>
      </c>
      <c r="Y10" s="6">
        <f t="shared" si="3"/>
        <v>0</v>
      </c>
      <c r="Z10" s="6">
        <f t="shared" si="3"/>
        <v>0</v>
      </c>
      <c r="AA10" s="6">
        <f t="shared" si="3"/>
        <v>1048</v>
      </c>
      <c r="AB10" s="6">
        <f t="shared" si="3"/>
        <v>0</v>
      </c>
      <c r="AC10" s="6">
        <f t="shared" si="3"/>
        <v>0</v>
      </c>
      <c r="AD10" s="6">
        <f>+(2.5-AD9)*800</f>
        <v>0</v>
      </c>
      <c r="AE10" s="6">
        <f t="shared" si="3"/>
        <v>0</v>
      </c>
      <c r="AF10" s="6">
        <f t="shared" si="3"/>
        <v>0</v>
      </c>
      <c r="AG10" s="6">
        <f t="shared" si="3"/>
        <v>0</v>
      </c>
      <c r="AH10" s="6">
        <f t="shared" si="3"/>
        <v>0</v>
      </c>
      <c r="AI10" s="7">
        <f t="shared" si="3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3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13" t="s">
        <v>3</v>
      </c>
      <c r="E12" s="5">
        <f>+(2-E11)*800</f>
        <v>0</v>
      </c>
      <c r="F12" s="6">
        <f t="shared" ref="F12:AI12" si="4">+(2-F11)*800</f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0</v>
      </c>
      <c r="Z12" s="6"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0</v>
      </c>
      <c r="AE12" s="6">
        <f t="shared" si="4"/>
        <v>0</v>
      </c>
      <c r="AF12" s="6">
        <f t="shared" si="4"/>
        <v>0</v>
      </c>
      <c r="AG12" s="6">
        <f t="shared" si="4"/>
        <v>0</v>
      </c>
      <c r="AH12" s="6">
        <f t="shared" si="4"/>
        <v>0</v>
      </c>
      <c r="AI12" s="7">
        <f t="shared" si="4"/>
        <v>0</v>
      </c>
      <c r="AJ12" s="19"/>
      <c r="AK12" s="19"/>
    </row>
  </sheetData>
  <mergeCells count="26">
    <mergeCell ref="A1:AK1"/>
    <mergeCell ref="A3:A4"/>
    <mergeCell ref="B3:B4"/>
    <mergeCell ref="C3:C4"/>
    <mergeCell ref="AJ3:AJ4"/>
    <mergeCell ref="AK3:AK4"/>
    <mergeCell ref="A7:A8"/>
    <mergeCell ref="B7:B8"/>
    <mergeCell ref="C7:C8"/>
    <mergeCell ref="AJ7:AJ8"/>
    <mergeCell ref="AK7:AK8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  <mergeCell ref="A9:A10"/>
    <mergeCell ref="B9:B10"/>
    <mergeCell ref="C9:C10"/>
    <mergeCell ref="AJ9:AJ10"/>
    <mergeCell ref="AK9:AK10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AF8" sqref="AF8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4" t="s">
        <v>0</v>
      </c>
      <c r="B2" s="14" t="s">
        <v>1</v>
      </c>
      <c r="C2" s="14" t="s">
        <v>6</v>
      </c>
      <c r="D2" s="14"/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s="14">
        <v>11</v>
      </c>
      <c r="P2" s="14">
        <v>12</v>
      </c>
      <c r="Q2" s="14">
        <v>13</v>
      </c>
      <c r="R2" s="14">
        <v>14</v>
      </c>
      <c r="S2" s="14">
        <v>15</v>
      </c>
      <c r="T2" s="14">
        <v>16</v>
      </c>
      <c r="U2" s="14">
        <v>17</v>
      </c>
      <c r="V2" s="14">
        <v>18</v>
      </c>
      <c r="W2" s="14">
        <v>19</v>
      </c>
      <c r="X2" s="14">
        <v>20</v>
      </c>
      <c r="Y2" s="14">
        <v>21</v>
      </c>
      <c r="Z2" s="14">
        <v>22</v>
      </c>
      <c r="AA2" s="14">
        <v>23</v>
      </c>
      <c r="AB2" s="14">
        <v>24</v>
      </c>
      <c r="AC2" s="14">
        <v>25</v>
      </c>
      <c r="AD2" s="14">
        <v>26</v>
      </c>
      <c r="AE2" s="14">
        <v>27</v>
      </c>
      <c r="AF2" s="14">
        <v>28</v>
      </c>
      <c r="AG2" s="14">
        <v>29</v>
      </c>
      <c r="AH2" s="14">
        <v>30</v>
      </c>
      <c r="AI2" s="14">
        <v>31</v>
      </c>
      <c r="AJ2" s="14" t="s">
        <v>5</v>
      </c>
      <c r="AK2" s="14" t="s">
        <v>4</v>
      </c>
    </row>
    <row r="3" spans="1:37" ht="24.75" customHeight="1">
      <c r="A3" s="19" t="s">
        <v>8</v>
      </c>
      <c r="B3" s="19"/>
      <c r="C3" s="19" t="s">
        <v>7</v>
      </c>
      <c r="D3" s="14" t="s">
        <v>2</v>
      </c>
      <c r="E3" s="2">
        <v>9</v>
      </c>
      <c r="F3" s="3">
        <v>9</v>
      </c>
      <c r="G3" s="3">
        <v>9</v>
      </c>
      <c r="H3" s="3">
        <v>9</v>
      </c>
      <c r="I3" s="3">
        <v>6.98</v>
      </c>
      <c r="J3" s="3">
        <v>9</v>
      </c>
      <c r="K3" s="3">
        <v>9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6.64</v>
      </c>
      <c r="T3" s="3">
        <v>9</v>
      </c>
      <c r="U3" s="3">
        <v>9</v>
      </c>
      <c r="V3" s="3">
        <v>9</v>
      </c>
      <c r="W3" s="3">
        <v>9</v>
      </c>
      <c r="X3" s="3">
        <v>9</v>
      </c>
      <c r="Y3" s="3">
        <v>9</v>
      </c>
      <c r="Z3" s="3">
        <v>9</v>
      </c>
      <c r="AA3" s="3">
        <v>9</v>
      </c>
      <c r="AB3" s="3">
        <v>9</v>
      </c>
      <c r="AC3" s="3">
        <v>9</v>
      </c>
      <c r="AD3" s="3">
        <v>9</v>
      </c>
      <c r="AE3" s="3">
        <v>9</v>
      </c>
      <c r="AF3" s="3">
        <v>7.09</v>
      </c>
      <c r="AG3" s="3">
        <v>9</v>
      </c>
      <c r="AH3" s="3">
        <v>9</v>
      </c>
      <c r="AI3" s="4">
        <v>9</v>
      </c>
      <c r="AJ3" s="19">
        <f>SUM(E4:AI4)</f>
        <v>116.82222222222222</v>
      </c>
      <c r="AK3" s="19">
        <f>+B3-AJ3</f>
        <v>-116.82222222222222</v>
      </c>
    </row>
    <row r="4" spans="1:37" ht="24.75" customHeight="1">
      <c r="A4" s="19"/>
      <c r="B4" s="19"/>
      <c r="C4" s="19"/>
      <c r="D4" s="14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35.911111111111104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>+(9-M3)*800/45</f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41.955555555555563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v>0</v>
      </c>
      <c r="Z4" s="6">
        <f t="shared" si="0"/>
        <v>0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v>5</v>
      </c>
      <c r="AE4" s="6">
        <f t="shared" si="0"/>
        <v>0</v>
      </c>
      <c r="AF4" s="6">
        <f t="shared" si="0"/>
        <v>33.955555555555556</v>
      </c>
      <c r="AG4" s="6">
        <f t="shared" si="0"/>
        <v>0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4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43.79</v>
      </c>
      <c r="J5" s="3">
        <v>51.7</v>
      </c>
      <c r="K5" s="3">
        <v>51.7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51.7</v>
      </c>
      <c r="R5" s="3">
        <v>51.7</v>
      </c>
      <c r="S5" s="3">
        <v>49.3</v>
      </c>
      <c r="T5" s="3">
        <v>51.7</v>
      </c>
      <c r="U5" s="3">
        <v>51.7</v>
      </c>
      <c r="V5" s="3">
        <v>51.7</v>
      </c>
      <c r="W5" s="3">
        <v>51.7</v>
      </c>
      <c r="X5" s="3">
        <v>51.7</v>
      </c>
      <c r="Y5" s="3">
        <v>51.7</v>
      </c>
      <c r="Z5" s="3">
        <v>51.7</v>
      </c>
      <c r="AA5" s="3">
        <v>51.7</v>
      </c>
      <c r="AB5" s="3">
        <v>51.7</v>
      </c>
      <c r="AC5" s="3">
        <v>51.7</v>
      </c>
      <c r="AD5" s="3">
        <v>51.7</v>
      </c>
      <c r="AE5" s="3">
        <v>51.7</v>
      </c>
      <c r="AF5" s="3">
        <v>51.7</v>
      </c>
      <c r="AG5" s="3">
        <v>49.2</v>
      </c>
      <c r="AH5" s="3">
        <v>51.7</v>
      </c>
      <c r="AI5" s="3">
        <v>51.7</v>
      </c>
      <c r="AJ5" s="19">
        <f>SUM(E6:AI6)</f>
        <v>45.955156950672681</v>
      </c>
      <c r="AK5" s="19">
        <f>+B5-AJ5</f>
        <v>-45.955156950672681</v>
      </c>
    </row>
    <row r="6" spans="1:37" ht="24.75" customHeight="1">
      <c r="A6" s="19"/>
      <c r="B6" s="19"/>
      <c r="C6" s="19"/>
      <c r="D6" s="14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28.376681614349788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8.6098654708520375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0</v>
      </c>
      <c r="AA6" s="6">
        <f t="shared" si="1"/>
        <v>0</v>
      </c>
      <c r="AB6" s="6">
        <f t="shared" si="1"/>
        <v>0</v>
      </c>
      <c r="AC6" s="6">
        <f t="shared" si="1"/>
        <v>0</v>
      </c>
      <c r="AD6" s="6">
        <f t="shared" si="1"/>
        <v>0</v>
      </c>
      <c r="AE6" s="6">
        <v>0</v>
      </c>
      <c r="AF6" s="6">
        <f t="shared" si="1"/>
        <v>0</v>
      </c>
      <c r="AG6" s="6">
        <f t="shared" si="1"/>
        <v>8.9686098654708513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4" t="s">
        <v>2</v>
      </c>
      <c r="E7" s="2">
        <v>95</v>
      </c>
      <c r="F7" s="3">
        <v>95</v>
      </c>
      <c r="G7" s="3">
        <v>95</v>
      </c>
      <c r="H7" s="3">
        <v>95</v>
      </c>
      <c r="I7" s="3">
        <v>95</v>
      </c>
      <c r="J7" s="3">
        <v>95</v>
      </c>
      <c r="K7" s="3">
        <v>95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95</v>
      </c>
      <c r="R7" s="3">
        <v>95</v>
      </c>
      <c r="S7" s="3">
        <v>87.5</v>
      </c>
      <c r="T7" s="3">
        <v>95</v>
      </c>
      <c r="U7" s="3">
        <v>95</v>
      </c>
      <c r="V7" s="3">
        <v>95</v>
      </c>
      <c r="W7" s="3">
        <v>95</v>
      </c>
      <c r="X7" s="3">
        <v>95</v>
      </c>
      <c r="Y7" s="3">
        <v>95</v>
      </c>
      <c r="Z7" s="3">
        <v>95</v>
      </c>
      <c r="AA7" s="3">
        <v>95</v>
      </c>
      <c r="AB7" s="3">
        <v>95</v>
      </c>
      <c r="AC7" s="3">
        <v>95</v>
      </c>
      <c r="AD7" s="3">
        <v>95</v>
      </c>
      <c r="AE7" s="3">
        <v>95</v>
      </c>
      <c r="AF7" s="3">
        <v>54</v>
      </c>
      <c r="AG7" s="3">
        <v>95</v>
      </c>
      <c r="AH7" s="3">
        <v>95</v>
      </c>
      <c r="AI7" s="3">
        <v>95</v>
      </c>
      <c r="AJ7" s="19">
        <f>SUM(E8:AI8)</f>
        <v>60.155038759689923</v>
      </c>
      <c r="AK7" s="19">
        <f>+B7-AJ7</f>
        <v>-60.155038759689923</v>
      </c>
    </row>
    <row r="8" spans="1:37" ht="24.75" customHeight="1">
      <c r="A8" s="19"/>
      <c r="B8" s="19"/>
      <c r="C8" s="19"/>
      <c r="D8" s="14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0</v>
      </c>
      <c r="I8" s="5">
        <f t="shared" si="2"/>
        <v>0</v>
      </c>
      <c r="J8" s="5">
        <f t="shared" si="2"/>
        <v>0</v>
      </c>
      <c r="K8" s="5">
        <f t="shared" si="2"/>
        <v>0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0</v>
      </c>
      <c r="R8" s="5">
        <f t="shared" si="2"/>
        <v>0</v>
      </c>
      <c r="S8" s="5">
        <f t="shared" si="2"/>
        <v>9.3023255813953494</v>
      </c>
      <c r="T8" s="5">
        <f t="shared" si="2"/>
        <v>0</v>
      </c>
      <c r="U8" s="5">
        <f t="shared" si="2"/>
        <v>0</v>
      </c>
      <c r="V8" s="5">
        <f t="shared" si="2"/>
        <v>0</v>
      </c>
      <c r="W8" s="5">
        <f t="shared" si="2"/>
        <v>0</v>
      </c>
      <c r="X8" s="5">
        <f t="shared" si="2"/>
        <v>0</v>
      </c>
      <c r="Y8" s="5">
        <f t="shared" si="2"/>
        <v>0</v>
      </c>
      <c r="Z8" s="5">
        <f t="shared" si="2"/>
        <v>0</v>
      </c>
      <c r="AA8" s="5">
        <f t="shared" si="2"/>
        <v>0</v>
      </c>
      <c r="AB8" s="5">
        <f t="shared" si="2"/>
        <v>0</v>
      </c>
      <c r="AC8" s="5">
        <f t="shared" si="2"/>
        <v>0</v>
      </c>
      <c r="AD8" s="5">
        <f t="shared" si="2"/>
        <v>0</v>
      </c>
      <c r="AE8" s="5">
        <f t="shared" si="2"/>
        <v>0</v>
      </c>
      <c r="AF8" s="5">
        <f t="shared" si="2"/>
        <v>50.852713178294572</v>
      </c>
      <c r="AG8" s="5">
        <f t="shared" si="2"/>
        <v>0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4" t="s">
        <v>2</v>
      </c>
      <c r="E9" s="2">
        <v>2.5</v>
      </c>
      <c r="F9" s="3">
        <v>2.5</v>
      </c>
      <c r="G9" s="3">
        <v>2.5</v>
      </c>
      <c r="H9" s="3">
        <v>2.5</v>
      </c>
      <c r="I9" s="3">
        <v>2.5</v>
      </c>
      <c r="J9" s="3">
        <v>2.5</v>
      </c>
      <c r="K9" s="3">
        <v>2.5</v>
      </c>
      <c r="L9" s="3">
        <v>2.5</v>
      </c>
      <c r="M9" s="3">
        <v>2.5</v>
      </c>
      <c r="N9" s="3">
        <v>2.5</v>
      </c>
      <c r="O9" s="3">
        <v>2.5</v>
      </c>
      <c r="P9" s="3">
        <v>2.5</v>
      </c>
      <c r="Q9" s="3">
        <v>2.5</v>
      </c>
      <c r="R9" s="3">
        <v>2.5</v>
      </c>
      <c r="S9" s="3">
        <v>1.33</v>
      </c>
      <c r="T9" s="3">
        <v>2.5</v>
      </c>
      <c r="U9" s="3">
        <v>2.5</v>
      </c>
      <c r="V9" s="3">
        <v>2.5</v>
      </c>
      <c r="W9" s="3">
        <v>2.5</v>
      </c>
      <c r="X9" s="3">
        <v>2.5</v>
      </c>
      <c r="Y9" s="3">
        <v>2.5</v>
      </c>
      <c r="Z9" s="3">
        <v>2.5</v>
      </c>
      <c r="AA9" s="3">
        <v>2.5</v>
      </c>
      <c r="AB9" s="3">
        <v>2.5</v>
      </c>
      <c r="AC9" s="3">
        <v>2.5</v>
      </c>
      <c r="AD9" s="3">
        <v>2.5</v>
      </c>
      <c r="AE9" s="3">
        <v>2.5</v>
      </c>
      <c r="AF9" s="3">
        <v>2.5</v>
      </c>
      <c r="AG9" s="3">
        <v>2.5</v>
      </c>
      <c r="AH9" s="3">
        <v>2.5</v>
      </c>
      <c r="AI9" s="3">
        <v>2.5</v>
      </c>
      <c r="AJ9" s="19">
        <f>SUM(E10:AI10)</f>
        <v>936</v>
      </c>
      <c r="AK9" s="19">
        <f>+B9-AJ9</f>
        <v>-936</v>
      </c>
    </row>
    <row r="10" spans="1:37" ht="24.75" customHeight="1">
      <c r="A10" s="19"/>
      <c r="B10" s="19"/>
      <c r="C10" s="19"/>
      <c r="D10" s="14" t="s">
        <v>3</v>
      </c>
      <c r="E10" s="5">
        <f>+(2.5-E9)*800</f>
        <v>0</v>
      </c>
      <c r="F10" s="6">
        <f t="shared" ref="F10:AI10" si="3">+(2.5-F9)*800</f>
        <v>0</v>
      </c>
      <c r="G10" s="6">
        <f t="shared" si="3"/>
        <v>0</v>
      </c>
      <c r="H10" s="6">
        <f t="shared" si="3"/>
        <v>0</v>
      </c>
      <c r="I10" s="6">
        <f t="shared" si="3"/>
        <v>0</v>
      </c>
      <c r="J10" s="6">
        <f t="shared" si="3"/>
        <v>0</v>
      </c>
      <c r="K10" s="6">
        <f t="shared" si="3"/>
        <v>0</v>
      </c>
      <c r="L10" s="6">
        <f t="shared" si="3"/>
        <v>0</v>
      </c>
      <c r="M10" s="6">
        <f t="shared" si="3"/>
        <v>0</v>
      </c>
      <c r="N10" s="6">
        <f t="shared" si="3"/>
        <v>0</v>
      </c>
      <c r="O10" s="6">
        <f t="shared" si="3"/>
        <v>0</v>
      </c>
      <c r="P10" s="6">
        <f t="shared" si="3"/>
        <v>0</v>
      </c>
      <c r="Q10" s="6">
        <f t="shared" si="3"/>
        <v>0</v>
      </c>
      <c r="R10" s="6">
        <f t="shared" si="3"/>
        <v>0</v>
      </c>
      <c r="S10" s="6">
        <f t="shared" si="3"/>
        <v>936</v>
      </c>
      <c r="T10" s="6">
        <f t="shared" si="3"/>
        <v>0</v>
      </c>
      <c r="U10" s="6">
        <f t="shared" si="3"/>
        <v>0</v>
      </c>
      <c r="V10" s="6">
        <f t="shared" si="3"/>
        <v>0</v>
      </c>
      <c r="W10" s="6">
        <f t="shared" si="3"/>
        <v>0</v>
      </c>
      <c r="X10" s="6">
        <f t="shared" si="3"/>
        <v>0</v>
      </c>
      <c r="Y10" s="6">
        <f t="shared" si="3"/>
        <v>0</v>
      </c>
      <c r="Z10" s="6">
        <f t="shared" si="3"/>
        <v>0</v>
      </c>
      <c r="AA10" s="6">
        <f t="shared" si="3"/>
        <v>0</v>
      </c>
      <c r="AB10" s="6">
        <f t="shared" si="3"/>
        <v>0</v>
      </c>
      <c r="AC10" s="6">
        <f t="shared" si="3"/>
        <v>0</v>
      </c>
      <c r="AD10" s="6">
        <f>+(2.5-AD9)*800</f>
        <v>0</v>
      </c>
      <c r="AE10" s="6">
        <f t="shared" si="3"/>
        <v>0</v>
      </c>
      <c r="AF10" s="6">
        <f t="shared" si="3"/>
        <v>0</v>
      </c>
      <c r="AG10" s="6">
        <f t="shared" si="3"/>
        <v>0</v>
      </c>
      <c r="AH10" s="6">
        <f t="shared" si="3"/>
        <v>0</v>
      </c>
      <c r="AI10" s="7">
        <f t="shared" si="3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4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14" t="s">
        <v>3</v>
      </c>
      <c r="E12" s="5">
        <f>+(2-E11)*800</f>
        <v>0</v>
      </c>
      <c r="F12" s="6">
        <f t="shared" ref="F12:AI12" si="4">+(2-F11)*800</f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 t="shared" si="4"/>
        <v>0</v>
      </c>
      <c r="L12" s="6">
        <f t="shared" si="4"/>
        <v>0</v>
      </c>
      <c r="M12" s="6">
        <f t="shared" si="4"/>
        <v>0</v>
      </c>
      <c r="N12" s="6">
        <f t="shared" si="4"/>
        <v>0</v>
      </c>
      <c r="O12" s="6">
        <f t="shared" si="4"/>
        <v>0</v>
      </c>
      <c r="P12" s="6">
        <f t="shared" si="4"/>
        <v>0</v>
      </c>
      <c r="Q12" s="6">
        <f t="shared" si="4"/>
        <v>0</v>
      </c>
      <c r="R12" s="6">
        <f t="shared" si="4"/>
        <v>0</v>
      </c>
      <c r="S12" s="6">
        <f t="shared" si="4"/>
        <v>0</v>
      </c>
      <c r="T12" s="6">
        <f t="shared" si="4"/>
        <v>0</v>
      </c>
      <c r="U12" s="6">
        <f t="shared" si="4"/>
        <v>0</v>
      </c>
      <c r="V12" s="6">
        <f t="shared" si="4"/>
        <v>0</v>
      </c>
      <c r="W12" s="6">
        <f t="shared" si="4"/>
        <v>0</v>
      </c>
      <c r="X12" s="6">
        <f t="shared" si="4"/>
        <v>0</v>
      </c>
      <c r="Y12" s="6">
        <f t="shared" si="4"/>
        <v>0</v>
      </c>
      <c r="Z12" s="6">
        <v>0</v>
      </c>
      <c r="AA12" s="6">
        <f t="shared" si="4"/>
        <v>0</v>
      </c>
      <c r="AB12" s="6">
        <f t="shared" si="4"/>
        <v>0</v>
      </c>
      <c r="AC12" s="6">
        <f t="shared" si="4"/>
        <v>0</v>
      </c>
      <c r="AD12" s="6">
        <f t="shared" si="4"/>
        <v>0</v>
      </c>
      <c r="AE12" s="6">
        <f t="shared" si="4"/>
        <v>0</v>
      </c>
      <c r="AF12" s="6">
        <f t="shared" si="4"/>
        <v>0</v>
      </c>
      <c r="AG12" s="6">
        <f t="shared" si="4"/>
        <v>0</v>
      </c>
      <c r="AH12" s="6">
        <f t="shared" si="4"/>
        <v>0</v>
      </c>
      <c r="AI12" s="7">
        <f t="shared" si="4"/>
        <v>0</v>
      </c>
      <c r="AJ12" s="19"/>
      <c r="AK12" s="19"/>
    </row>
  </sheetData>
  <mergeCells count="26">
    <mergeCell ref="A1:AK1"/>
    <mergeCell ref="A3:A4"/>
    <mergeCell ref="B3:B4"/>
    <mergeCell ref="C3:C4"/>
    <mergeCell ref="AJ3:AJ4"/>
    <mergeCell ref="AK3:AK4"/>
    <mergeCell ref="A7:A8"/>
    <mergeCell ref="B7:B8"/>
    <mergeCell ref="C7:C8"/>
    <mergeCell ref="AJ7:AJ8"/>
    <mergeCell ref="AK7:AK8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  <mergeCell ref="A9:A10"/>
    <mergeCell ref="B9:B10"/>
    <mergeCell ref="C9:C10"/>
    <mergeCell ref="AJ9:AJ10"/>
    <mergeCell ref="AK9:AK10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AC4" sqref="AC4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5" t="s">
        <v>0</v>
      </c>
      <c r="B2" s="15" t="s">
        <v>1</v>
      </c>
      <c r="C2" s="15" t="s">
        <v>6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J2" s="15">
        <v>6</v>
      </c>
      <c r="K2" s="15">
        <v>7</v>
      </c>
      <c r="L2" s="15">
        <v>8</v>
      </c>
      <c r="M2" s="15">
        <v>9</v>
      </c>
      <c r="N2" s="15">
        <v>10</v>
      </c>
      <c r="O2" s="15">
        <v>11</v>
      </c>
      <c r="P2" s="15">
        <v>12</v>
      </c>
      <c r="Q2" s="15">
        <v>13</v>
      </c>
      <c r="R2" s="15">
        <v>14</v>
      </c>
      <c r="S2" s="15">
        <v>15</v>
      </c>
      <c r="T2" s="15">
        <v>16</v>
      </c>
      <c r="U2" s="15">
        <v>17</v>
      </c>
      <c r="V2" s="15">
        <v>18</v>
      </c>
      <c r="W2" s="15">
        <v>19</v>
      </c>
      <c r="X2" s="15">
        <v>20</v>
      </c>
      <c r="Y2" s="15">
        <v>21</v>
      </c>
      <c r="Z2" s="15">
        <v>22</v>
      </c>
      <c r="AA2" s="15">
        <v>23</v>
      </c>
      <c r="AB2" s="15">
        <v>24</v>
      </c>
      <c r="AC2" s="15">
        <v>25</v>
      </c>
      <c r="AD2" s="15">
        <v>26</v>
      </c>
      <c r="AE2" s="15">
        <v>27</v>
      </c>
      <c r="AF2" s="15">
        <v>28</v>
      </c>
      <c r="AG2" s="15">
        <v>29</v>
      </c>
      <c r="AH2" s="15">
        <v>30</v>
      </c>
      <c r="AI2" s="15">
        <v>31</v>
      </c>
      <c r="AJ2" s="15" t="s">
        <v>5</v>
      </c>
      <c r="AK2" s="15" t="s">
        <v>4</v>
      </c>
    </row>
    <row r="3" spans="1:37" ht="24.75" customHeight="1">
      <c r="A3" s="19" t="s">
        <v>8</v>
      </c>
      <c r="B3" s="19"/>
      <c r="C3" s="19" t="s">
        <v>7</v>
      </c>
      <c r="D3" s="15" t="s">
        <v>2</v>
      </c>
      <c r="E3" s="2">
        <v>9</v>
      </c>
      <c r="F3" s="3">
        <v>9</v>
      </c>
      <c r="G3" s="3">
        <v>9</v>
      </c>
      <c r="H3" s="3">
        <v>9</v>
      </c>
      <c r="I3" s="3">
        <v>8.6999999999999993</v>
      </c>
      <c r="J3" s="3">
        <v>9</v>
      </c>
      <c r="K3" s="3">
        <v>9</v>
      </c>
      <c r="L3" s="3">
        <v>9</v>
      </c>
      <c r="M3" s="3">
        <v>9</v>
      </c>
      <c r="N3" s="3">
        <v>9</v>
      </c>
      <c r="O3" s="3">
        <v>7.32</v>
      </c>
      <c r="P3" s="3">
        <v>9</v>
      </c>
      <c r="Q3" s="3">
        <v>9</v>
      </c>
      <c r="R3" s="3">
        <v>9</v>
      </c>
      <c r="S3" s="3">
        <v>9</v>
      </c>
      <c r="T3" s="3">
        <v>9</v>
      </c>
      <c r="U3" s="3">
        <v>9</v>
      </c>
      <c r="V3" s="3">
        <v>9</v>
      </c>
      <c r="W3" s="3">
        <v>9</v>
      </c>
      <c r="X3" s="3">
        <v>9</v>
      </c>
      <c r="Y3" s="3">
        <v>9</v>
      </c>
      <c r="Z3" s="3">
        <v>9</v>
      </c>
      <c r="AA3" s="3">
        <v>9</v>
      </c>
      <c r="AB3" s="3">
        <v>9</v>
      </c>
      <c r="AC3" s="3">
        <v>6.85</v>
      </c>
      <c r="AD3" s="3">
        <v>9</v>
      </c>
      <c r="AE3" s="3">
        <v>9</v>
      </c>
      <c r="AF3" s="3">
        <v>9</v>
      </c>
      <c r="AG3" s="3">
        <v>9</v>
      </c>
      <c r="AH3" s="3">
        <v>9</v>
      </c>
      <c r="AI3" s="4">
        <v>9</v>
      </c>
      <c r="AJ3" s="19">
        <f>SUM(E4:AI4)</f>
        <v>73.422222222222231</v>
      </c>
      <c r="AK3" s="19">
        <f>+B3-AJ3</f>
        <v>-73.422222222222231</v>
      </c>
    </row>
    <row r="4" spans="1:37" ht="24.75" customHeight="1">
      <c r="A4" s="19"/>
      <c r="B4" s="19"/>
      <c r="C4" s="19"/>
      <c r="D4" s="15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5.3333333333333464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>+(9-M3)*800/45</f>
        <v>0</v>
      </c>
      <c r="N4" s="6">
        <f t="shared" si="0"/>
        <v>0</v>
      </c>
      <c r="O4" s="6">
        <f t="shared" si="0"/>
        <v>29.86666666666666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v>0</v>
      </c>
      <c r="Z4" s="6">
        <f t="shared" si="0"/>
        <v>0</v>
      </c>
      <c r="AA4" s="6">
        <f t="shared" si="0"/>
        <v>0</v>
      </c>
      <c r="AB4" s="6">
        <f t="shared" si="0"/>
        <v>0</v>
      </c>
      <c r="AC4" s="6">
        <f t="shared" si="0"/>
        <v>38.222222222222229</v>
      </c>
      <c r="AD4" s="6">
        <v>0</v>
      </c>
      <c r="AE4" s="6">
        <f t="shared" si="0"/>
        <v>0</v>
      </c>
      <c r="AF4" s="6">
        <f t="shared" si="0"/>
        <v>0</v>
      </c>
      <c r="AG4" s="6">
        <f t="shared" si="0"/>
        <v>0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5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48.2</v>
      </c>
      <c r="J5" s="3">
        <v>51.7</v>
      </c>
      <c r="K5" s="3">
        <v>51.7</v>
      </c>
      <c r="L5" s="3">
        <v>51.7</v>
      </c>
      <c r="M5" s="3">
        <v>51.7</v>
      </c>
      <c r="N5" s="3">
        <v>51.7</v>
      </c>
      <c r="O5" s="3">
        <v>44.8</v>
      </c>
      <c r="P5" s="3">
        <v>51.7</v>
      </c>
      <c r="Q5" s="3">
        <v>51.7</v>
      </c>
      <c r="R5" s="3">
        <v>51.7</v>
      </c>
      <c r="S5" s="3">
        <v>51.7</v>
      </c>
      <c r="T5" s="3">
        <v>51.7</v>
      </c>
      <c r="U5" s="3">
        <v>51.7</v>
      </c>
      <c r="V5" s="3">
        <v>51.7</v>
      </c>
      <c r="W5" s="3">
        <v>51.7</v>
      </c>
      <c r="X5" s="3">
        <v>51.7</v>
      </c>
      <c r="Y5" s="3">
        <v>51.7</v>
      </c>
      <c r="Z5" s="3">
        <v>51.7</v>
      </c>
      <c r="AA5" s="3">
        <v>51.7</v>
      </c>
      <c r="AB5" s="3">
        <v>51.7</v>
      </c>
      <c r="AC5" s="3">
        <v>45.52</v>
      </c>
      <c r="AD5" s="3">
        <v>51.7</v>
      </c>
      <c r="AE5" s="3">
        <v>51.7</v>
      </c>
      <c r="AF5" s="3">
        <v>51.7</v>
      </c>
      <c r="AG5" s="3">
        <v>49.5</v>
      </c>
      <c r="AH5" s="3">
        <v>51.7</v>
      </c>
      <c r="AI5" s="3">
        <v>51.7</v>
      </c>
      <c r="AJ5" s="19">
        <f>SUM(E6:AI6)</f>
        <v>67.372197309417075</v>
      </c>
      <c r="AK5" s="19">
        <f>+B5-AJ5</f>
        <v>-67.372197309417075</v>
      </c>
    </row>
    <row r="6" spans="1:37" ht="24.75" customHeight="1">
      <c r="A6" s="19"/>
      <c r="B6" s="19"/>
      <c r="C6" s="19"/>
      <c r="D6" s="15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12.556053811659194</v>
      </c>
      <c r="J6" s="6">
        <f t="shared" si="1"/>
        <v>0</v>
      </c>
      <c r="K6" s="6">
        <f t="shared" si="1"/>
        <v>0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24.753363228699573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0</v>
      </c>
      <c r="AA6" s="6">
        <f t="shared" si="1"/>
        <v>0</v>
      </c>
      <c r="AB6" s="6">
        <f t="shared" si="1"/>
        <v>0</v>
      </c>
      <c r="AC6" s="6">
        <f t="shared" si="1"/>
        <v>22.170403587443946</v>
      </c>
      <c r="AD6" s="6">
        <f t="shared" si="1"/>
        <v>0</v>
      </c>
      <c r="AE6" s="6">
        <v>0</v>
      </c>
      <c r="AF6" s="6">
        <f t="shared" si="1"/>
        <v>0</v>
      </c>
      <c r="AG6" s="6">
        <f t="shared" si="1"/>
        <v>7.8923766816143601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5" t="s">
        <v>2</v>
      </c>
      <c r="E7" s="2">
        <v>95</v>
      </c>
      <c r="F7" s="3">
        <v>95</v>
      </c>
      <c r="G7" s="3">
        <v>95</v>
      </c>
      <c r="H7" s="3">
        <v>95</v>
      </c>
      <c r="I7" s="3">
        <v>102.7</v>
      </c>
      <c r="J7" s="3">
        <v>95</v>
      </c>
      <c r="K7" s="3">
        <v>95</v>
      </c>
      <c r="L7" s="3">
        <v>95</v>
      </c>
      <c r="M7" s="3">
        <v>95</v>
      </c>
      <c r="N7" s="3">
        <v>95</v>
      </c>
      <c r="O7" s="3">
        <v>102</v>
      </c>
      <c r="P7" s="3">
        <v>95</v>
      </c>
      <c r="Q7" s="3">
        <v>95</v>
      </c>
      <c r="R7" s="3">
        <v>95</v>
      </c>
      <c r="S7" s="3">
        <v>95</v>
      </c>
      <c r="T7" s="3">
        <v>95</v>
      </c>
      <c r="U7" s="3">
        <v>95</v>
      </c>
      <c r="V7" s="3">
        <v>95</v>
      </c>
      <c r="W7" s="3">
        <v>95</v>
      </c>
      <c r="X7" s="3">
        <v>95</v>
      </c>
      <c r="Y7" s="3">
        <v>95</v>
      </c>
      <c r="Z7" s="3">
        <v>95</v>
      </c>
      <c r="AA7" s="3">
        <v>95</v>
      </c>
      <c r="AB7" s="3">
        <v>95</v>
      </c>
      <c r="AC7" s="3">
        <v>95</v>
      </c>
      <c r="AD7" s="3">
        <v>95</v>
      </c>
      <c r="AE7" s="3">
        <v>95</v>
      </c>
      <c r="AF7" s="3">
        <v>95</v>
      </c>
      <c r="AG7" s="3">
        <v>95</v>
      </c>
      <c r="AH7" s="3">
        <v>95</v>
      </c>
      <c r="AI7" s="3">
        <v>95</v>
      </c>
      <c r="AJ7" s="19">
        <f>SUM(E8:AI8)</f>
        <v>-18.232558139534888</v>
      </c>
      <c r="AK7" s="19">
        <f>+B7-AJ7</f>
        <v>18.232558139534888</v>
      </c>
    </row>
    <row r="8" spans="1:37" ht="24.75" customHeight="1">
      <c r="A8" s="19"/>
      <c r="B8" s="19"/>
      <c r="C8" s="19"/>
      <c r="D8" s="15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0</v>
      </c>
      <c r="I8" s="5">
        <f t="shared" si="2"/>
        <v>-9.5503875968992276</v>
      </c>
      <c r="J8" s="5">
        <f t="shared" si="2"/>
        <v>0</v>
      </c>
      <c r="K8" s="5">
        <f t="shared" si="2"/>
        <v>0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-8.6821705426356584</v>
      </c>
      <c r="P8" s="5">
        <f t="shared" si="2"/>
        <v>0</v>
      </c>
      <c r="Q8" s="5">
        <f t="shared" si="2"/>
        <v>0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0</v>
      </c>
      <c r="V8" s="5">
        <f t="shared" si="2"/>
        <v>0</v>
      </c>
      <c r="W8" s="5">
        <f t="shared" si="2"/>
        <v>0</v>
      </c>
      <c r="X8" s="5">
        <f t="shared" si="2"/>
        <v>0</v>
      </c>
      <c r="Y8" s="5">
        <f t="shared" si="2"/>
        <v>0</v>
      </c>
      <c r="Z8" s="5">
        <f t="shared" si="2"/>
        <v>0</v>
      </c>
      <c r="AA8" s="5">
        <f t="shared" si="2"/>
        <v>0</v>
      </c>
      <c r="AB8" s="5">
        <f t="shared" si="2"/>
        <v>0</v>
      </c>
      <c r="AC8" s="5">
        <f t="shared" si="2"/>
        <v>0</v>
      </c>
      <c r="AD8" s="5">
        <f t="shared" si="2"/>
        <v>0</v>
      </c>
      <c r="AE8" s="5">
        <f t="shared" si="2"/>
        <v>0</v>
      </c>
      <c r="AF8" s="5">
        <f t="shared" si="2"/>
        <v>0</v>
      </c>
      <c r="AG8" s="5">
        <f t="shared" si="2"/>
        <v>0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5" t="s">
        <v>2</v>
      </c>
      <c r="E9" s="2">
        <v>2</v>
      </c>
      <c r="F9" s="3">
        <v>2</v>
      </c>
      <c r="G9" s="3">
        <v>2</v>
      </c>
      <c r="H9" s="3">
        <v>2</v>
      </c>
      <c r="I9" s="3">
        <v>1.88</v>
      </c>
      <c r="J9" s="3">
        <v>2</v>
      </c>
      <c r="K9" s="3">
        <v>2</v>
      </c>
      <c r="L9" s="3">
        <v>2</v>
      </c>
      <c r="M9" s="3">
        <v>2</v>
      </c>
      <c r="N9" s="3">
        <v>2</v>
      </c>
      <c r="O9" s="3">
        <v>1.68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3">
        <v>2</v>
      </c>
      <c r="V9" s="3">
        <v>2</v>
      </c>
      <c r="W9" s="3">
        <v>2</v>
      </c>
      <c r="X9" s="3">
        <v>2</v>
      </c>
      <c r="Y9" s="3">
        <v>2</v>
      </c>
      <c r="Z9" s="3">
        <v>2</v>
      </c>
      <c r="AA9" s="3">
        <v>2</v>
      </c>
      <c r="AB9" s="3">
        <v>2</v>
      </c>
      <c r="AC9" s="3">
        <v>2</v>
      </c>
      <c r="AD9" s="3">
        <v>2</v>
      </c>
      <c r="AE9" s="3">
        <v>2</v>
      </c>
      <c r="AF9" s="3">
        <v>2</v>
      </c>
      <c r="AG9" s="3">
        <v>2</v>
      </c>
      <c r="AH9" s="3">
        <v>2</v>
      </c>
      <c r="AI9" s="3">
        <v>2</v>
      </c>
      <c r="AJ9" s="19">
        <f>SUM(E10:AI10)</f>
        <v>352.00000000000011</v>
      </c>
      <c r="AK9" s="19">
        <f>+B9-AJ9</f>
        <v>-352.00000000000011</v>
      </c>
    </row>
    <row r="10" spans="1:37" ht="24.75" customHeight="1">
      <c r="A10" s="19"/>
      <c r="B10" s="19"/>
      <c r="C10" s="19"/>
      <c r="D10" s="15" t="s">
        <v>3</v>
      </c>
      <c r="E10" s="6">
        <f t="shared" ref="E10:H10" si="3">+(2-E9)*800</f>
        <v>0</v>
      </c>
      <c r="F10" s="6">
        <f t="shared" si="3"/>
        <v>0</v>
      </c>
      <c r="G10" s="6">
        <f t="shared" si="3"/>
        <v>0</v>
      </c>
      <c r="H10" s="6">
        <f t="shared" si="3"/>
        <v>0</v>
      </c>
      <c r="I10" s="6">
        <f>+(2-I9)*800</f>
        <v>96.000000000000085</v>
      </c>
      <c r="J10" s="6">
        <f>+(2-J9)*800</f>
        <v>0</v>
      </c>
      <c r="K10" s="6">
        <f t="shared" ref="K10:AI10" si="4">+(2-K9)*800</f>
        <v>0</v>
      </c>
      <c r="L10" s="6">
        <f t="shared" si="4"/>
        <v>0</v>
      </c>
      <c r="M10" s="6">
        <f t="shared" si="4"/>
        <v>0</v>
      </c>
      <c r="N10" s="6">
        <f t="shared" si="4"/>
        <v>0</v>
      </c>
      <c r="O10" s="6">
        <f t="shared" si="4"/>
        <v>256.00000000000006</v>
      </c>
      <c r="P10" s="6">
        <f t="shared" si="4"/>
        <v>0</v>
      </c>
      <c r="Q10" s="6">
        <f t="shared" si="4"/>
        <v>0</v>
      </c>
      <c r="R10" s="6">
        <f t="shared" si="4"/>
        <v>0</v>
      </c>
      <c r="S10" s="6">
        <f t="shared" si="4"/>
        <v>0</v>
      </c>
      <c r="T10" s="6">
        <f t="shared" si="4"/>
        <v>0</v>
      </c>
      <c r="U10" s="6">
        <f t="shared" si="4"/>
        <v>0</v>
      </c>
      <c r="V10" s="6">
        <f t="shared" si="4"/>
        <v>0</v>
      </c>
      <c r="W10" s="6">
        <f t="shared" si="4"/>
        <v>0</v>
      </c>
      <c r="X10" s="6">
        <f t="shared" si="4"/>
        <v>0</v>
      </c>
      <c r="Y10" s="6">
        <f t="shared" si="4"/>
        <v>0</v>
      </c>
      <c r="Z10" s="6">
        <f t="shared" si="4"/>
        <v>0</v>
      </c>
      <c r="AA10" s="6">
        <f t="shared" si="4"/>
        <v>0</v>
      </c>
      <c r="AB10" s="6">
        <f t="shared" si="4"/>
        <v>0</v>
      </c>
      <c r="AC10" s="6">
        <f t="shared" si="4"/>
        <v>0</v>
      </c>
      <c r="AD10" s="6">
        <f t="shared" si="4"/>
        <v>0</v>
      </c>
      <c r="AE10" s="6">
        <f t="shared" si="4"/>
        <v>0</v>
      </c>
      <c r="AF10" s="6">
        <f t="shared" si="4"/>
        <v>0</v>
      </c>
      <c r="AG10" s="6">
        <f t="shared" si="4"/>
        <v>0</v>
      </c>
      <c r="AH10" s="6">
        <f t="shared" si="4"/>
        <v>0</v>
      </c>
      <c r="AI10" s="6">
        <f t="shared" si="4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5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15" t="s">
        <v>3</v>
      </c>
      <c r="E12" s="5">
        <f>+(2-E11)*800</f>
        <v>0</v>
      </c>
      <c r="F12" s="6">
        <f t="shared" ref="F12:AI12" si="5">+(2-F11)*800</f>
        <v>0</v>
      </c>
      <c r="G12" s="6">
        <f t="shared" si="5"/>
        <v>0</v>
      </c>
      <c r="H12" s="6">
        <f t="shared" si="5"/>
        <v>0</v>
      </c>
      <c r="I12" s="6">
        <f t="shared" si="5"/>
        <v>0</v>
      </c>
      <c r="J12" s="6">
        <f t="shared" si="5"/>
        <v>0</v>
      </c>
      <c r="K12" s="6">
        <f t="shared" si="5"/>
        <v>0</v>
      </c>
      <c r="L12" s="6">
        <f t="shared" si="5"/>
        <v>0</v>
      </c>
      <c r="M12" s="6">
        <f t="shared" si="5"/>
        <v>0</v>
      </c>
      <c r="N12" s="6">
        <f t="shared" si="5"/>
        <v>0</v>
      </c>
      <c r="O12" s="6">
        <f t="shared" si="5"/>
        <v>0</v>
      </c>
      <c r="P12" s="6">
        <f t="shared" si="5"/>
        <v>0</v>
      </c>
      <c r="Q12" s="6">
        <f t="shared" si="5"/>
        <v>0</v>
      </c>
      <c r="R12" s="6">
        <f t="shared" si="5"/>
        <v>0</v>
      </c>
      <c r="S12" s="6">
        <f t="shared" si="5"/>
        <v>0</v>
      </c>
      <c r="T12" s="6">
        <f t="shared" si="5"/>
        <v>0</v>
      </c>
      <c r="U12" s="6">
        <f t="shared" si="5"/>
        <v>0</v>
      </c>
      <c r="V12" s="6">
        <f t="shared" si="5"/>
        <v>0</v>
      </c>
      <c r="W12" s="6">
        <f t="shared" si="5"/>
        <v>0</v>
      </c>
      <c r="X12" s="6">
        <f t="shared" si="5"/>
        <v>0</v>
      </c>
      <c r="Y12" s="6">
        <f t="shared" si="5"/>
        <v>0</v>
      </c>
      <c r="Z12" s="6">
        <v>0</v>
      </c>
      <c r="AA12" s="6">
        <f t="shared" si="5"/>
        <v>0</v>
      </c>
      <c r="AB12" s="6">
        <f t="shared" si="5"/>
        <v>0</v>
      </c>
      <c r="AC12" s="6">
        <f t="shared" si="5"/>
        <v>0</v>
      </c>
      <c r="AD12" s="6">
        <f t="shared" si="5"/>
        <v>0</v>
      </c>
      <c r="AE12" s="6">
        <f t="shared" si="5"/>
        <v>0</v>
      </c>
      <c r="AF12" s="6">
        <f t="shared" si="5"/>
        <v>0</v>
      </c>
      <c r="AG12" s="6">
        <f t="shared" si="5"/>
        <v>0</v>
      </c>
      <c r="AH12" s="6">
        <f t="shared" si="5"/>
        <v>0</v>
      </c>
      <c r="AI12" s="7">
        <f t="shared" si="5"/>
        <v>0</v>
      </c>
      <c r="AJ12" s="19"/>
      <c r="AK12" s="19"/>
    </row>
  </sheetData>
  <mergeCells count="26">
    <mergeCell ref="A1:AK1"/>
    <mergeCell ref="A3:A4"/>
    <mergeCell ref="B3:B4"/>
    <mergeCell ref="C3:C4"/>
    <mergeCell ref="AJ3:AJ4"/>
    <mergeCell ref="AK3:AK4"/>
    <mergeCell ref="A7:A8"/>
    <mergeCell ref="B7:B8"/>
    <mergeCell ref="C7:C8"/>
    <mergeCell ref="AJ7:AJ8"/>
    <mergeCell ref="AK7:AK8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  <mergeCell ref="A9:A10"/>
    <mergeCell ref="B9:B10"/>
    <mergeCell ref="C9:C10"/>
    <mergeCell ref="AJ9:AJ10"/>
    <mergeCell ref="AK9:AK10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AM23" sqref="AM23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6" t="s">
        <v>0</v>
      </c>
      <c r="B2" s="16" t="s">
        <v>1</v>
      </c>
      <c r="C2" s="16" t="s">
        <v>6</v>
      </c>
      <c r="D2" s="16"/>
      <c r="E2" s="16">
        <v>1</v>
      </c>
      <c r="F2" s="16">
        <v>2</v>
      </c>
      <c r="G2" s="16">
        <v>3</v>
      </c>
      <c r="H2" s="16">
        <v>4</v>
      </c>
      <c r="I2" s="16">
        <v>5</v>
      </c>
      <c r="J2" s="16">
        <v>6</v>
      </c>
      <c r="K2" s="16">
        <v>7</v>
      </c>
      <c r="L2" s="16">
        <v>8</v>
      </c>
      <c r="M2" s="16">
        <v>9</v>
      </c>
      <c r="N2" s="16">
        <v>10</v>
      </c>
      <c r="O2" s="16">
        <v>11</v>
      </c>
      <c r="P2" s="16">
        <v>12</v>
      </c>
      <c r="Q2" s="16">
        <v>13</v>
      </c>
      <c r="R2" s="16">
        <v>14</v>
      </c>
      <c r="S2" s="16">
        <v>15</v>
      </c>
      <c r="T2" s="16">
        <v>16</v>
      </c>
      <c r="U2" s="16">
        <v>17</v>
      </c>
      <c r="V2" s="16">
        <v>18</v>
      </c>
      <c r="W2" s="16">
        <v>19</v>
      </c>
      <c r="X2" s="16">
        <v>20</v>
      </c>
      <c r="Y2" s="16">
        <v>21</v>
      </c>
      <c r="Z2" s="16">
        <v>22</v>
      </c>
      <c r="AA2" s="16">
        <v>23</v>
      </c>
      <c r="AB2" s="16">
        <v>24</v>
      </c>
      <c r="AC2" s="16">
        <v>25</v>
      </c>
      <c r="AD2" s="16">
        <v>26</v>
      </c>
      <c r="AE2" s="16">
        <v>27</v>
      </c>
      <c r="AF2" s="16">
        <v>28</v>
      </c>
      <c r="AG2" s="16">
        <v>29</v>
      </c>
      <c r="AH2" s="16">
        <v>30</v>
      </c>
      <c r="AI2" s="16">
        <v>31</v>
      </c>
      <c r="AJ2" s="16" t="s">
        <v>5</v>
      </c>
      <c r="AK2" s="16" t="s">
        <v>4</v>
      </c>
    </row>
    <row r="3" spans="1:37" ht="24.75" customHeight="1">
      <c r="A3" s="19" t="s">
        <v>8</v>
      </c>
      <c r="B3" s="19"/>
      <c r="C3" s="19" t="s">
        <v>7</v>
      </c>
      <c r="D3" s="16" t="s">
        <v>2</v>
      </c>
      <c r="E3" s="2">
        <v>9</v>
      </c>
      <c r="F3" s="3">
        <v>9</v>
      </c>
      <c r="G3" s="3">
        <v>9</v>
      </c>
      <c r="H3" s="3">
        <v>9</v>
      </c>
      <c r="I3" s="3">
        <v>9</v>
      </c>
      <c r="J3" s="3">
        <v>9</v>
      </c>
      <c r="K3" s="3">
        <v>7.98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9</v>
      </c>
      <c r="T3" s="3">
        <v>7.55</v>
      </c>
      <c r="U3" s="3">
        <v>9</v>
      </c>
      <c r="V3" s="3">
        <v>9</v>
      </c>
      <c r="W3" s="3">
        <v>9</v>
      </c>
      <c r="X3" s="3">
        <v>9</v>
      </c>
      <c r="Y3" s="3">
        <v>9</v>
      </c>
      <c r="Z3" s="3">
        <v>6.29</v>
      </c>
      <c r="AA3" s="3">
        <v>9</v>
      </c>
      <c r="AB3" s="3">
        <v>8.58</v>
      </c>
      <c r="AC3" s="3">
        <v>9</v>
      </c>
      <c r="AD3" s="3">
        <v>9</v>
      </c>
      <c r="AE3" s="3">
        <v>9</v>
      </c>
      <c r="AF3" s="3">
        <v>9</v>
      </c>
      <c r="AG3" s="3">
        <v>9</v>
      </c>
      <c r="AH3" s="3">
        <v>9</v>
      </c>
      <c r="AI3" s="4">
        <v>9</v>
      </c>
      <c r="AJ3" s="19">
        <f>SUM(E4:AI4)</f>
        <v>99.555555555555557</v>
      </c>
      <c r="AK3" s="19">
        <f>+B3-AJ3</f>
        <v>-99.555555555555557</v>
      </c>
    </row>
    <row r="4" spans="1:37" ht="24.75" customHeight="1">
      <c r="A4" s="19"/>
      <c r="B4" s="19"/>
      <c r="C4" s="19"/>
      <c r="D4" s="16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6">
        <f t="shared" si="0"/>
        <v>18.133333333333326</v>
      </c>
      <c r="L4" s="6">
        <f t="shared" si="0"/>
        <v>0</v>
      </c>
      <c r="M4" s="6">
        <f>+(9-M3)*800/45</f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25.777777777777782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v>0</v>
      </c>
      <c r="Z4" s="6">
        <f t="shared" si="0"/>
        <v>48.177777777777777</v>
      </c>
      <c r="AA4" s="6">
        <f t="shared" si="0"/>
        <v>0</v>
      </c>
      <c r="AB4" s="6">
        <f t="shared" si="0"/>
        <v>7.466666666666665</v>
      </c>
      <c r="AC4" s="6">
        <f t="shared" si="0"/>
        <v>0</v>
      </c>
      <c r="AD4" s="6">
        <v>0</v>
      </c>
      <c r="AE4" s="6">
        <f t="shared" si="0"/>
        <v>0</v>
      </c>
      <c r="AF4" s="6">
        <f t="shared" si="0"/>
        <v>0</v>
      </c>
      <c r="AG4" s="6">
        <f t="shared" si="0"/>
        <v>0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6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51.7</v>
      </c>
      <c r="J5" s="3">
        <v>51.7</v>
      </c>
      <c r="K5" s="3">
        <v>48.6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51.7</v>
      </c>
      <c r="R5" s="3">
        <v>51.7</v>
      </c>
      <c r="S5" s="3">
        <v>51.7</v>
      </c>
      <c r="T5" s="3">
        <v>51.7</v>
      </c>
      <c r="U5" s="3">
        <v>51.7</v>
      </c>
      <c r="V5" s="3">
        <v>51.7</v>
      </c>
      <c r="W5" s="3">
        <v>51.7</v>
      </c>
      <c r="X5" s="3">
        <v>51.7</v>
      </c>
      <c r="Y5" s="3">
        <v>51.7</v>
      </c>
      <c r="Z5" s="3">
        <v>45.68</v>
      </c>
      <c r="AA5" s="3">
        <v>51.7</v>
      </c>
      <c r="AB5" s="3">
        <v>51.7</v>
      </c>
      <c r="AC5" s="3">
        <v>51.7</v>
      </c>
      <c r="AD5" s="3">
        <v>51.7</v>
      </c>
      <c r="AE5" s="3">
        <v>51.7</v>
      </c>
      <c r="AF5" s="3">
        <v>51.7</v>
      </c>
      <c r="AG5" s="3">
        <v>51.7</v>
      </c>
      <c r="AH5" s="3">
        <v>51.7</v>
      </c>
      <c r="AI5" s="3">
        <v>51.7</v>
      </c>
      <c r="AJ5" s="19">
        <f>SUM(E6:AI6)</f>
        <v>32.717488789237684</v>
      </c>
      <c r="AK5" s="19">
        <f>+B5-AJ5</f>
        <v>-32.717488789237684</v>
      </c>
    </row>
    <row r="6" spans="1:37" ht="24.75" customHeight="1">
      <c r="A6" s="19"/>
      <c r="B6" s="19"/>
      <c r="C6" s="19"/>
      <c r="D6" s="16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0</v>
      </c>
      <c r="J6" s="6">
        <f t="shared" si="1"/>
        <v>0</v>
      </c>
      <c r="K6" s="6">
        <f t="shared" si="1"/>
        <v>11.12107623318386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21.596412556053824</v>
      </c>
      <c r="AA6" s="6">
        <f t="shared" si="1"/>
        <v>0</v>
      </c>
      <c r="AB6" s="6">
        <f t="shared" si="1"/>
        <v>0</v>
      </c>
      <c r="AC6" s="6">
        <f t="shared" si="1"/>
        <v>0</v>
      </c>
      <c r="AD6" s="6">
        <f t="shared" si="1"/>
        <v>0</v>
      </c>
      <c r="AE6" s="6">
        <v>0</v>
      </c>
      <c r="AF6" s="6">
        <f t="shared" si="1"/>
        <v>0</v>
      </c>
      <c r="AG6" s="6">
        <f t="shared" si="1"/>
        <v>0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6" t="s">
        <v>2</v>
      </c>
      <c r="E7" s="2">
        <v>95</v>
      </c>
      <c r="F7" s="3">
        <v>95</v>
      </c>
      <c r="G7" s="3">
        <v>95</v>
      </c>
      <c r="H7" s="3">
        <v>95</v>
      </c>
      <c r="I7" s="3">
        <v>95</v>
      </c>
      <c r="J7" s="3">
        <v>95</v>
      </c>
      <c r="K7" s="3">
        <v>88.8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95</v>
      </c>
      <c r="R7" s="3">
        <v>95</v>
      </c>
      <c r="S7" s="3">
        <v>95</v>
      </c>
      <c r="T7" s="3">
        <v>95</v>
      </c>
      <c r="U7" s="3">
        <v>95</v>
      </c>
      <c r="V7" s="3">
        <v>95</v>
      </c>
      <c r="W7" s="3">
        <v>95</v>
      </c>
      <c r="X7" s="3">
        <v>95</v>
      </c>
      <c r="Y7" s="3">
        <v>95</v>
      </c>
      <c r="Z7" s="3">
        <v>86.7</v>
      </c>
      <c r="AA7" s="3">
        <v>95</v>
      </c>
      <c r="AB7" s="3">
        <v>95</v>
      </c>
      <c r="AC7" s="3">
        <v>95</v>
      </c>
      <c r="AD7" s="3">
        <v>95</v>
      </c>
      <c r="AE7" s="3">
        <v>95</v>
      </c>
      <c r="AF7" s="3">
        <v>95</v>
      </c>
      <c r="AG7" s="3">
        <v>95</v>
      </c>
      <c r="AH7" s="3">
        <v>95</v>
      </c>
      <c r="AI7" s="3">
        <v>95</v>
      </c>
      <c r="AJ7" s="19">
        <f>SUM(E8:AI8)</f>
        <v>17.984496124031008</v>
      </c>
      <c r="AK7" s="19">
        <f>+B7-AJ7</f>
        <v>-17.984496124031008</v>
      </c>
    </row>
    <row r="8" spans="1:37" ht="24.75" customHeight="1">
      <c r="A8" s="19"/>
      <c r="B8" s="19"/>
      <c r="C8" s="19"/>
      <c r="D8" s="16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0</v>
      </c>
      <c r="I8" s="5">
        <f t="shared" si="2"/>
        <v>0</v>
      </c>
      <c r="J8" s="5">
        <f t="shared" si="2"/>
        <v>0</v>
      </c>
      <c r="K8" s="5">
        <f t="shared" si="2"/>
        <v>7.689922480620158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0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0</v>
      </c>
      <c r="V8" s="5">
        <f t="shared" si="2"/>
        <v>0</v>
      </c>
      <c r="W8" s="5">
        <f t="shared" si="2"/>
        <v>0</v>
      </c>
      <c r="X8" s="5">
        <f t="shared" si="2"/>
        <v>0</v>
      </c>
      <c r="Y8" s="5">
        <f t="shared" si="2"/>
        <v>0</v>
      </c>
      <c r="Z8" s="5">
        <f t="shared" si="2"/>
        <v>10.29457364341085</v>
      </c>
      <c r="AA8" s="5">
        <f t="shared" si="2"/>
        <v>0</v>
      </c>
      <c r="AB8" s="5">
        <f t="shared" si="2"/>
        <v>0</v>
      </c>
      <c r="AC8" s="5">
        <f t="shared" si="2"/>
        <v>0</v>
      </c>
      <c r="AD8" s="5">
        <f t="shared" si="2"/>
        <v>0</v>
      </c>
      <c r="AE8" s="5">
        <f t="shared" si="2"/>
        <v>0</v>
      </c>
      <c r="AF8" s="5">
        <f t="shared" si="2"/>
        <v>0</v>
      </c>
      <c r="AG8" s="5">
        <f t="shared" si="2"/>
        <v>0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6" t="s">
        <v>2</v>
      </c>
      <c r="E9" s="2">
        <v>2</v>
      </c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0.77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3">
        <v>2</v>
      </c>
      <c r="V9" s="3">
        <v>2</v>
      </c>
      <c r="W9" s="3">
        <v>2</v>
      </c>
      <c r="X9" s="3">
        <v>2</v>
      </c>
      <c r="Y9" s="3">
        <v>2</v>
      </c>
      <c r="Z9" s="3">
        <v>2</v>
      </c>
      <c r="AA9" s="3">
        <v>2</v>
      </c>
      <c r="AB9" s="3">
        <v>2</v>
      </c>
      <c r="AC9" s="3">
        <v>2</v>
      </c>
      <c r="AD9" s="3">
        <v>2</v>
      </c>
      <c r="AE9" s="3">
        <v>2</v>
      </c>
      <c r="AF9" s="3">
        <v>2</v>
      </c>
      <c r="AG9" s="3">
        <v>2</v>
      </c>
      <c r="AH9" s="3">
        <v>2</v>
      </c>
      <c r="AI9" s="3">
        <v>2</v>
      </c>
      <c r="AJ9" s="19">
        <f>SUM(E10:AI10)</f>
        <v>584</v>
      </c>
      <c r="AK9" s="19">
        <f>+B9-AJ9</f>
        <v>-584</v>
      </c>
    </row>
    <row r="10" spans="1:37" ht="24.75" customHeight="1">
      <c r="A10" s="19"/>
      <c r="B10" s="19"/>
      <c r="C10" s="19"/>
      <c r="D10" s="16" t="s">
        <v>3</v>
      </c>
      <c r="E10" s="6">
        <f t="shared" ref="E10:H10" si="3">+(2-E9)*800</f>
        <v>0</v>
      </c>
      <c r="F10" s="6">
        <f t="shared" si="3"/>
        <v>0</v>
      </c>
      <c r="G10" s="6">
        <f t="shared" si="3"/>
        <v>0</v>
      </c>
      <c r="H10" s="6">
        <f t="shared" si="3"/>
        <v>0</v>
      </c>
      <c r="I10" s="6">
        <f>+(2-I9)*800</f>
        <v>0</v>
      </c>
      <c r="J10" s="6">
        <f>+(2-J9)*800</f>
        <v>0</v>
      </c>
      <c r="K10" s="6">
        <f>+(1.5-K9)*800</f>
        <v>584</v>
      </c>
      <c r="L10" s="6">
        <f t="shared" ref="L10:AI10" si="4">+(2-L9)*800</f>
        <v>0</v>
      </c>
      <c r="M10" s="6">
        <f t="shared" si="4"/>
        <v>0</v>
      </c>
      <c r="N10" s="6">
        <f t="shared" si="4"/>
        <v>0</v>
      </c>
      <c r="O10" s="6">
        <f t="shared" si="4"/>
        <v>0</v>
      </c>
      <c r="P10" s="6">
        <f t="shared" si="4"/>
        <v>0</v>
      </c>
      <c r="Q10" s="6">
        <f t="shared" si="4"/>
        <v>0</v>
      </c>
      <c r="R10" s="6">
        <f t="shared" si="4"/>
        <v>0</v>
      </c>
      <c r="S10" s="6">
        <f t="shared" si="4"/>
        <v>0</v>
      </c>
      <c r="T10" s="6">
        <f t="shared" si="4"/>
        <v>0</v>
      </c>
      <c r="U10" s="6">
        <f t="shared" si="4"/>
        <v>0</v>
      </c>
      <c r="V10" s="6">
        <f t="shared" si="4"/>
        <v>0</v>
      </c>
      <c r="W10" s="6">
        <f t="shared" si="4"/>
        <v>0</v>
      </c>
      <c r="X10" s="6">
        <f t="shared" si="4"/>
        <v>0</v>
      </c>
      <c r="Y10" s="6">
        <f t="shared" si="4"/>
        <v>0</v>
      </c>
      <c r="Z10" s="6">
        <f t="shared" si="4"/>
        <v>0</v>
      </c>
      <c r="AA10" s="6">
        <f t="shared" si="4"/>
        <v>0</v>
      </c>
      <c r="AB10" s="6">
        <f t="shared" si="4"/>
        <v>0</v>
      </c>
      <c r="AC10" s="6">
        <f t="shared" si="4"/>
        <v>0</v>
      </c>
      <c r="AD10" s="6">
        <f t="shared" si="4"/>
        <v>0</v>
      </c>
      <c r="AE10" s="6">
        <f t="shared" si="4"/>
        <v>0</v>
      </c>
      <c r="AF10" s="6">
        <f t="shared" si="4"/>
        <v>0</v>
      </c>
      <c r="AG10" s="6">
        <f t="shared" si="4"/>
        <v>0</v>
      </c>
      <c r="AH10" s="6">
        <f t="shared" si="4"/>
        <v>0</v>
      </c>
      <c r="AI10" s="6">
        <f t="shared" si="4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6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16" t="s">
        <v>3</v>
      </c>
      <c r="E12" s="5">
        <f>+(2-E11)*800</f>
        <v>0</v>
      </c>
      <c r="F12" s="6">
        <f t="shared" ref="F12:AI12" si="5">+(2-F11)*800</f>
        <v>0</v>
      </c>
      <c r="G12" s="6">
        <f t="shared" si="5"/>
        <v>0</v>
      </c>
      <c r="H12" s="6">
        <f t="shared" si="5"/>
        <v>0</v>
      </c>
      <c r="I12" s="6">
        <f t="shared" si="5"/>
        <v>0</v>
      </c>
      <c r="J12" s="6">
        <f t="shared" si="5"/>
        <v>0</v>
      </c>
      <c r="K12" s="6">
        <f t="shared" si="5"/>
        <v>0</v>
      </c>
      <c r="L12" s="6">
        <f t="shared" si="5"/>
        <v>0</v>
      </c>
      <c r="M12" s="6">
        <f t="shared" si="5"/>
        <v>0</v>
      </c>
      <c r="N12" s="6">
        <f t="shared" si="5"/>
        <v>0</v>
      </c>
      <c r="O12" s="6">
        <f t="shared" si="5"/>
        <v>0</v>
      </c>
      <c r="P12" s="6">
        <f t="shared" si="5"/>
        <v>0</v>
      </c>
      <c r="Q12" s="6">
        <f t="shared" si="5"/>
        <v>0</v>
      </c>
      <c r="R12" s="6">
        <f t="shared" si="5"/>
        <v>0</v>
      </c>
      <c r="S12" s="6">
        <f t="shared" si="5"/>
        <v>0</v>
      </c>
      <c r="T12" s="6">
        <f t="shared" si="5"/>
        <v>0</v>
      </c>
      <c r="U12" s="6">
        <f t="shared" si="5"/>
        <v>0</v>
      </c>
      <c r="V12" s="6">
        <f t="shared" si="5"/>
        <v>0</v>
      </c>
      <c r="W12" s="6">
        <f t="shared" si="5"/>
        <v>0</v>
      </c>
      <c r="X12" s="6">
        <f t="shared" si="5"/>
        <v>0</v>
      </c>
      <c r="Y12" s="6">
        <f t="shared" si="5"/>
        <v>0</v>
      </c>
      <c r="Z12" s="6">
        <v>0</v>
      </c>
      <c r="AA12" s="6">
        <f t="shared" si="5"/>
        <v>0</v>
      </c>
      <c r="AB12" s="6">
        <f t="shared" si="5"/>
        <v>0</v>
      </c>
      <c r="AC12" s="6">
        <f t="shared" si="5"/>
        <v>0</v>
      </c>
      <c r="AD12" s="6">
        <f t="shared" si="5"/>
        <v>0</v>
      </c>
      <c r="AE12" s="6">
        <f t="shared" si="5"/>
        <v>0</v>
      </c>
      <c r="AF12" s="6">
        <f t="shared" si="5"/>
        <v>0</v>
      </c>
      <c r="AG12" s="6">
        <f t="shared" si="5"/>
        <v>0</v>
      </c>
      <c r="AH12" s="6">
        <f t="shared" si="5"/>
        <v>0</v>
      </c>
      <c r="AI12" s="7">
        <f t="shared" si="5"/>
        <v>0</v>
      </c>
      <c r="AJ12" s="19"/>
      <c r="AK12" s="19"/>
    </row>
  </sheetData>
  <mergeCells count="26">
    <mergeCell ref="A9:A10"/>
    <mergeCell ref="B9:B10"/>
    <mergeCell ref="C9:C10"/>
    <mergeCell ref="AJ9:AJ10"/>
    <mergeCell ref="AK9:AK10"/>
    <mergeCell ref="A11:A12"/>
    <mergeCell ref="B11:B12"/>
    <mergeCell ref="C11:C12"/>
    <mergeCell ref="AJ11:AJ12"/>
    <mergeCell ref="AK11:AK12"/>
    <mergeCell ref="A5:A6"/>
    <mergeCell ref="B5:B6"/>
    <mergeCell ref="C5:C6"/>
    <mergeCell ref="AJ5:AJ6"/>
    <mergeCell ref="AK5:AK6"/>
    <mergeCell ref="A7:A8"/>
    <mergeCell ref="B7:B8"/>
    <mergeCell ref="C7:C8"/>
    <mergeCell ref="AJ7:AJ8"/>
    <mergeCell ref="AK7:AK8"/>
    <mergeCell ref="A1:AK1"/>
    <mergeCell ref="A3:A4"/>
    <mergeCell ref="B3:B4"/>
    <mergeCell ref="C3:C4"/>
    <mergeCell ref="AJ3:AJ4"/>
    <mergeCell ref="AK3:AK4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selection activeCell="AF4" sqref="AF4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7" t="s">
        <v>0</v>
      </c>
      <c r="B2" s="17" t="s">
        <v>1</v>
      </c>
      <c r="C2" s="17" t="s">
        <v>6</v>
      </c>
      <c r="D2" s="17"/>
      <c r="E2" s="17">
        <v>1</v>
      </c>
      <c r="F2" s="17">
        <v>2</v>
      </c>
      <c r="G2" s="17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7">
        <v>16</v>
      </c>
      <c r="U2" s="17">
        <v>17</v>
      </c>
      <c r="V2" s="17">
        <v>18</v>
      </c>
      <c r="W2" s="17">
        <v>19</v>
      </c>
      <c r="X2" s="17">
        <v>20</v>
      </c>
      <c r="Y2" s="17">
        <v>21</v>
      </c>
      <c r="Z2" s="17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7">
        <v>31</v>
      </c>
      <c r="AJ2" s="17" t="s">
        <v>5</v>
      </c>
      <c r="AK2" s="17" t="s">
        <v>4</v>
      </c>
    </row>
    <row r="3" spans="1:37" ht="24.75" customHeight="1">
      <c r="A3" s="19" t="s">
        <v>8</v>
      </c>
      <c r="B3" s="19"/>
      <c r="C3" s="19" t="s">
        <v>7</v>
      </c>
      <c r="D3" s="17" t="s">
        <v>2</v>
      </c>
      <c r="E3" s="2">
        <v>9</v>
      </c>
      <c r="F3" s="3">
        <v>9</v>
      </c>
      <c r="G3" s="3">
        <v>9</v>
      </c>
      <c r="H3" s="3">
        <v>9</v>
      </c>
      <c r="I3" s="3">
        <v>9</v>
      </c>
      <c r="J3" s="3">
        <v>9</v>
      </c>
      <c r="K3" s="3">
        <v>7.98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9</v>
      </c>
      <c r="T3" s="3">
        <v>7.55</v>
      </c>
      <c r="U3" s="3">
        <v>9</v>
      </c>
      <c r="V3" s="3">
        <v>9</v>
      </c>
      <c r="W3" s="3">
        <v>9</v>
      </c>
      <c r="X3" s="3">
        <v>9</v>
      </c>
      <c r="Y3" s="3">
        <v>9</v>
      </c>
      <c r="Z3" s="3">
        <v>8.35</v>
      </c>
      <c r="AA3" s="3">
        <v>9</v>
      </c>
      <c r="AB3" s="3">
        <v>9</v>
      </c>
      <c r="AC3" s="3">
        <v>9</v>
      </c>
      <c r="AD3" s="3">
        <v>9</v>
      </c>
      <c r="AE3" s="3">
        <v>9</v>
      </c>
      <c r="AF3" s="3">
        <v>7.89</v>
      </c>
      <c r="AG3" s="3">
        <v>9</v>
      </c>
      <c r="AH3" s="3">
        <v>9</v>
      </c>
      <c r="AI3" s="4">
        <v>9</v>
      </c>
      <c r="AJ3" s="19">
        <f>SUM(E4:AI4)</f>
        <v>75.2</v>
      </c>
      <c r="AK3" s="19">
        <f>+B3-AJ3</f>
        <v>-75.2</v>
      </c>
    </row>
    <row r="4" spans="1:37" ht="24.75" customHeight="1">
      <c r="A4" s="19"/>
      <c r="B4" s="19"/>
      <c r="C4" s="19"/>
      <c r="D4" s="17" t="s">
        <v>3</v>
      </c>
      <c r="E4" s="5">
        <f>+(9-E3)*800/45</f>
        <v>0</v>
      </c>
      <c r="F4" s="6">
        <f t="shared" ref="F4:AI4" si="0">+(9-F3)*800/45</f>
        <v>0</v>
      </c>
      <c r="G4" s="6">
        <f t="shared" si="0"/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6">
        <f t="shared" si="0"/>
        <v>18.133333333333326</v>
      </c>
      <c r="L4" s="6">
        <f t="shared" si="0"/>
        <v>0</v>
      </c>
      <c r="M4" s="6">
        <f>+(9-M3)*800/45</f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25.777777777777782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v>0</v>
      </c>
      <c r="Z4" s="6">
        <f t="shared" si="0"/>
        <v>11.555555555555561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v>0</v>
      </c>
      <c r="AE4" s="6">
        <f t="shared" si="0"/>
        <v>0</v>
      </c>
      <c r="AF4" s="6">
        <f t="shared" si="0"/>
        <v>19.733333333333338</v>
      </c>
      <c r="AG4" s="6">
        <f t="shared" si="0"/>
        <v>0</v>
      </c>
      <c r="AH4" s="6">
        <f t="shared" si="0"/>
        <v>0</v>
      </c>
      <c r="AI4" s="7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7" t="s">
        <v>2</v>
      </c>
      <c r="E5" s="2">
        <v>51.7</v>
      </c>
      <c r="F5" s="3">
        <v>51.7</v>
      </c>
      <c r="G5" s="3">
        <v>51.7</v>
      </c>
      <c r="H5" s="3">
        <v>51.7</v>
      </c>
      <c r="I5" s="3">
        <v>51.7</v>
      </c>
      <c r="J5" s="3">
        <v>51.7</v>
      </c>
      <c r="K5" s="3">
        <v>48.6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51.7</v>
      </c>
      <c r="R5" s="3">
        <v>51.7</v>
      </c>
      <c r="S5" s="3">
        <v>51.7</v>
      </c>
      <c r="T5" s="3">
        <v>51.7</v>
      </c>
      <c r="U5" s="3">
        <v>51.7</v>
      </c>
      <c r="V5" s="3">
        <v>51.7</v>
      </c>
      <c r="W5" s="3">
        <v>51.7</v>
      </c>
      <c r="X5" s="3">
        <v>51.7</v>
      </c>
      <c r="Y5" s="3">
        <v>51.7</v>
      </c>
      <c r="Z5" s="3">
        <v>51.3</v>
      </c>
      <c r="AA5" s="3">
        <v>51.7</v>
      </c>
      <c r="AB5" s="3">
        <v>51.7</v>
      </c>
      <c r="AC5" s="3">
        <v>51.7</v>
      </c>
      <c r="AD5" s="3">
        <v>51.7</v>
      </c>
      <c r="AE5" s="3">
        <v>51.7</v>
      </c>
      <c r="AF5" s="3">
        <v>51.7</v>
      </c>
      <c r="AG5" s="3">
        <v>51.7</v>
      </c>
      <c r="AH5" s="3">
        <v>51.7</v>
      </c>
      <c r="AI5" s="3">
        <v>51.7</v>
      </c>
      <c r="AJ5" s="19">
        <f>SUM(E6:AI6)</f>
        <v>12.556053811659217</v>
      </c>
      <c r="AK5" s="19">
        <f>+B5-AJ5</f>
        <v>-12.556053811659217</v>
      </c>
    </row>
    <row r="6" spans="1:37" ht="24.75" customHeight="1">
      <c r="A6" s="19"/>
      <c r="B6" s="19"/>
      <c r="C6" s="19"/>
      <c r="D6" s="17" t="s">
        <v>3</v>
      </c>
      <c r="E6" s="5">
        <f>+(51.7-E5)*800/223</f>
        <v>0</v>
      </c>
      <c r="F6" s="6">
        <f t="shared" ref="F6:AI6" si="1">+(51.7-F5)*800/223</f>
        <v>0</v>
      </c>
      <c r="G6" s="6">
        <f t="shared" si="1"/>
        <v>0</v>
      </c>
      <c r="H6" s="6">
        <f t="shared" si="1"/>
        <v>0</v>
      </c>
      <c r="I6" s="6">
        <f t="shared" si="1"/>
        <v>0</v>
      </c>
      <c r="J6" s="6">
        <f t="shared" si="1"/>
        <v>0</v>
      </c>
      <c r="K6" s="6">
        <f t="shared" si="1"/>
        <v>11.12107623318386</v>
      </c>
      <c r="L6" s="6">
        <f t="shared" si="1"/>
        <v>0</v>
      </c>
      <c r="M6" s="6">
        <f t="shared" si="1"/>
        <v>0</v>
      </c>
      <c r="N6" s="6">
        <f t="shared" si="1"/>
        <v>0</v>
      </c>
      <c r="O6" s="6">
        <f t="shared" si="1"/>
        <v>0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0</v>
      </c>
      <c r="Y6" s="6">
        <f t="shared" si="1"/>
        <v>0</v>
      </c>
      <c r="Z6" s="6">
        <f t="shared" si="1"/>
        <v>1.4349775784753567</v>
      </c>
      <c r="AA6" s="6">
        <f t="shared" si="1"/>
        <v>0</v>
      </c>
      <c r="AB6" s="6">
        <f t="shared" si="1"/>
        <v>0</v>
      </c>
      <c r="AC6" s="6">
        <f t="shared" si="1"/>
        <v>0</v>
      </c>
      <c r="AD6" s="6">
        <f t="shared" si="1"/>
        <v>0</v>
      </c>
      <c r="AE6" s="6">
        <v>0</v>
      </c>
      <c r="AF6" s="6">
        <f t="shared" si="1"/>
        <v>0</v>
      </c>
      <c r="AG6" s="6">
        <f t="shared" si="1"/>
        <v>0</v>
      </c>
      <c r="AH6" s="6">
        <f t="shared" si="1"/>
        <v>0</v>
      </c>
      <c r="AI6" s="7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7" t="s">
        <v>2</v>
      </c>
      <c r="E7" s="2">
        <v>95</v>
      </c>
      <c r="F7" s="3">
        <v>95</v>
      </c>
      <c r="G7" s="3">
        <v>95</v>
      </c>
      <c r="H7" s="3">
        <v>95</v>
      </c>
      <c r="I7" s="3">
        <v>95</v>
      </c>
      <c r="J7" s="3">
        <v>95</v>
      </c>
      <c r="K7" s="3">
        <v>88.8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95</v>
      </c>
      <c r="R7" s="3">
        <v>95</v>
      </c>
      <c r="S7" s="3">
        <v>95</v>
      </c>
      <c r="T7" s="3">
        <v>95</v>
      </c>
      <c r="U7" s="3">
        <v>95</v>
      </c>
      <c r="V7" s="3">
        <v>95</v>
      </c>
      <c r="W7" s="3">
        <v>95</v>
      </c>
      <c r="X7" s="3">
        <v>95</v>
      </c>
      <c r="Y7" s="3">
        <v>95</v>
      </c>
      <c r="Z7" s="3">
        <v>86.14</v>
      </c>
      <c r="AA7" s="3">
        <v>95</v>
      </c>
      <c r="AB7" s="3">
        <v>95</v>
      </c>
      <c r="AC7" s="3">
        <v>95</v>
      </c>
      <c r="AD7" s="3">
        <v>95</v>
      </c>
      <c r="AE7" s="3">
        <v>95</v>
      </c>
      <c r="AF7" s="3">
        <v>95</v>
      </c>
      <c r="AG7" s="3">
        <v>95</v>
      </c>
      <c r="AH7" s="3">
        <v>95</v>
      </c>
      <c r="AI7" s="3">
        <v>95</v>
      </c>
      <c r="AJ7" s="19">
        <f>SUM(E8:AI8)</f>
        <v>18.679069767441863</v>
      </c>
      <c r="AK7" s="19">
        <f>+B7-AJ7</f>
        <v>-18.679069767441863</v>
      </c>
    </row>
    <row r="8" spans="1:37" ht="24.75" customHeight="1">
      <c r="A8" s="19"/>
      <c r="B8" s="19"/>
      <c r="C8" s="19"/>
      <c r="D8" s="17" t="s">
        <v>3</v>
      </c>
      <c r="E8" s="5">
        <f>+(95-E7)*800/645</f>
        <v>0</v>
      </c>
      <c r="F8" s="5">
        <f t="shared" ref="F8:AI8" si="2">+(95-F7)*800/645</f>
        <v>0</v>
      </c>
      <c r="G8" s="5">
        <f t="shared" si="2"/>
        <v>0</v>
      </c>
      <c r="H8" s="5">
        <f t="shared" si="2"/>
        <v>0</v>
      </c>
      <c r="I8" s="5">
        <f t="shared" si="2"/>
        <v>0</v>
      </c>
      <c r="J8" s="5">
        <f t="shared" si="2"/>
        <v>0</v>
      </c>
      <c r="K8" s="5">
        <f t="shared" si="2"/>
        <v>7.689922480620158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0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0</v>
      </c>
      <c r="V8" s="5">
        <f t="shared" si="2"/>
        <v>0</v>
      </c>
      <c r="W8" s="5">
        <f t="shared" si="2"/>
        <v>0</v>
      </c>
      <c r="X8" s="5">
        <f t="shared" si="2"/>
        <v>0</v>
      </c>
      <c r="Y8" s="5">
        <f t="shared" si="2"/>
        <v>0</v>
      </c>
      <c r="Z8" s="5">
        <f t="shared" si="2"/>
        <v>10.989147286821705</v>
      </c>
      <c r="AA8" s="5">
        <f t="shared" si="2"/>
        <v>0</v>
      </c>
      <c r="AB8" s="5">
        <f t="shared" si="2"/>
        <v>0</v>
      </c>
      <c r="AC8" s="5">
        <f t="shared" si="2"/>
        <v>0</v>
      </c>
      <c r="AD8" s="5">
        <f t="shared" si="2"/>
        <v>0</v>
      </c>
      <c r="AE8" s="5">
        <f t="shared" si="2"/>
        <v>0</v>
      </c>
      <c r="AF8" s="5">
        <f t="shared" si="2"/>
        <v>0</v>
      </c>
      <c r="AG8" s="5">
        <f t="shared" si="2"/>
        <v>0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7" t="s">
        <v>2</v>
      </c>
      <c r="E9" s="2">
        <v>2</v>
      </c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0.77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3">
        <v>2</v>
      </c>
      <c r="V9" s="3">
        <v>2</v>
      </c>
      <c r="W9" s="3">
        <v>2</v>
      </c>
      <c r="X9" s="3">
        <v>2</v>
      </c>
      <c r="Y9" s="3">
        <v>2</v>
      </c>
      <c r="Z9" s="3">
        <v>0.6</v>
      </c>
      <c r="AA9" s="3">
        <v>2</v>
      </c>
      <c r="AB9" s="3">
        <v>2</v>
      </c>
      <c r="AC9" s="3">
        <v>2</v>
      </c>
      <c r="AD9" s="3">
        <v>2</v>
      </c>
      <c r="AE9" s="3">
        <v>2</v>
      </c>
      <c r="AF9" s="3">
        <v>2</v>
      </c>
      <c r="AG9" s="3">
        <v>2</v>
      </c>
      <c r="AH9" s="3">
        <v>2</v>
      </c>
      <c r="AI9" s="3">
        <v>2</v>
      </c>
      <c r="AJ9" s="19">
        <f>SUM(E10:AI10)</f>
        <v>1704</v>
      </c>
      <c r="AK9" s="19">
        <f>+B9-AJ9</f>
        <v>-1704</v>
      </c>
    </row>
    <row r="10" spans="1:37" ht="24.75" customHeight="1">
      <c r="A10" s="19"/>
      <c r="B10" s="19"/>
      <c r="C10" s="19"/>
      <c r="D10" s="17" t="s">
        <v>3</v>
      </c>
      <c r="E10" s="6">
        <f t="shared" ref="E10:H10" si="3">+(2-E9)*800</f>
        <v>0</v>
      </c>
      <c r="F10" s="6">
        <f t="shared" si="3"/>
        <v>0</v>
      </c>
      <c r="G10" s="6">
        <f t="shared" si="3"/>
        <v>0</v>
      </c>
      <c r="H10" s="6">
        <f t="shared" si="3"/>
        <v>0</v>
      </c>
      <c r="I10" s="6">
        <f>+(2-I9)*800</f>
        <v>0</v>
      </c>
      <c r="J10" s="6">
        <f>+(2-J9)*800</f>
        <v>0</v>
      </c>
      <c r="K10" s="6">
        <f>+(1.5-K9)*800</f>
        <v>584</v>
      </c>
      <c r="L10" s="6">
        <f t="shared" ref="L10:AI10" si="4">+(2-L9)*800</f>
        <v>0</v>
      </c>
      <c r="M10" s="6">
        <f t="shared" si="4"/>
        <v>0</v>
      </c>
      <c r="N10" s="6">
        <f t="shared" si="4"/>
        <v>0</v>
      </c>
      <c r="O10" s="6">
        <f t="shared" si="4"/>
        <v>0</v>
      </c>
      <c r="P10" s="6">
        <f t="shared" si="4"/>
        <v>0</v>
      </c>
      <c r="Q10" s="6">
        <f t="shared" si="4"/>
        <v>0</v>
      </c>
      <c r="R10" s="6">
        <f t="shared" si="4"/>
        <v>0</v>
      </c>
      <c r="S10" s="6">
        <f t="shared" si="4"/>
        <v>0</v>
      </c>
      <c r="T10" s="6">
        <f t="shared" si="4"/>
        <v>0</v>
      </c>
      <c r="U10" s="6">
        <f t="shared" si="4"/>
        <v>0</v>
      </c>
      <c r="V10" s="6">
        <f t="shared" si="4"/>
        <v>0</v>
      </c>
      <c r="W10" s="6">
        <f t="shared" si="4"/>
        <v>0</v>
      </c>
      <c r="X10" s="6">
        <f t="shared" si="4"/>
        <v>0</v>
      </c>
      <c r="Y10" s="6">
        <f t="shared" si="4"/>
        <v>0</v>
      </c>
      <c r="Z10" s="6">
        <f t="shared" si="4"/>
        <v>1120</v>
      </c>
      <c r="AA10" s="6">
        <f t="shared" si="4"/>
        <v>0</v>
      </c>
      <c r="AB10" s="6">
        <f t="shared" si="4"/>
        <v>0</v>
      </c>
      <c r="AC10" s="6">
        <f t="shared" si="4"/>
        <v>0</v>
      </c>
      <c r="AD10" s="6">
        <f t="shared" si="4"/>
        <v>0</v>
      </c>
      <c r="AE10" s="6">
        <f t="shared" si="4"/>
        <v>0</v>
      </c>
      <c r="AF10" s="6">
        <f t="shared" si="4"/>
        <v>0</v>
      </c>
      <c r="AG10" s="6">
        <f t="shared" si="4"/>
        <v>0</v>
      </c>
      <c r="AH10" s="6">
        <f t="shared" si="4"/>
        <v>0</v>
      </c>
      <c r="AI10" s="6">
        <f t="shared" si="4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7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17" t="s">
        <v>3</v>
      </c>
      <c r="E12" s="5">
        <f>+(2-E11)*800</f>
        <v>0</v>
      </c>
      <c r="F12" s="6">
        <f t="shared" ref="F12:AI12" si="5">+(2-F11)*800</f>
        <v>0</v>
      </c>
      <c r="G12" s="6">
        <f t="shared" si="5"/>
        <v>0</v>
      </c>
      <c r="H12" s="6">
        <f t="shared" si="5"/>
        <v>0</v>
      </c>
      <c r="I12" s="6">
        <f t="shared" si="5"/>
        <v>0</v>
      </c>
      <c r="J12" s="6">
        <f t="shared" si="5"/>
        <v>0</v>
      </c>
      <c r="K12" s="6">
        <f t="shared" si="5"/>
        <v>0</v>
      </c>
      <c r="L12" s="6">
        <f t="shared" si="5"/>
        <v>0</v>
      </c>
      <c r="M12" s="6">
        <f t="shared" si="5"/>
        <v>0</v>
      </c>
      <c r="N12" s="6">
        <f t="shared" si="5"/>
        <v>0</v>
      </c>
      <c r="O12" s="6">
        <f t="shared" si="5"/>
        <v>0</v>
      </c>
      <c r="P12" s="6">
        <f t="shared" si="5"/>
        <v>0</v>
      </c>
      <c r="Q12" s="6">
        <f t="shared" si="5"/>
        <v>0</v>
      </c>
      <c r="R12" s="6">
        <f t="shared" si="5"/>
        <v>0</v>
      </c>
      <c r="S12" s="6">
        <f t="shared" si="5"/>
        <v>0</v>
      </c>
      <c r="T12" s="6">
        <f t="shared" si="5"/>
        <v>0</v>
      </c>
      <c r="U12" s="6">
        <f t="shared" si="5"/>
        <v>0</v>
      </c>
      <c r="V12" s="6">
        <f t="shared" si="5"/>
        <v>0</v>
      </c>
      <c r="W12" s="6">
        <f t="shared" si="5"/>
        <v>0</v>
      </c>
      <c r="X12" s="6">
        <f t="shared" si="5"/>
        <v>0</v>
      </c>
      <c r="Y12" s="6">
        <f t="shared" si="5"/>
        <v>0</v>
      </c>
      <c r="Z12" s="6">
        <v>0</v>
      </c>
      <c r="AA12" s="6">
        <f t="shared" si="5"/>
        <v>0</v>
      </c>
      <c r="AB12" s="6">
        <f t="shared" si="5"/>
        <v>0</v>
      </c>
      <c r="AC12" s="6">
        <f t="shared" si="5"/>
        <v>0</v>
      </c>
      <c r="AD12" s="6">
        <f t="shared" si="5"/>
        <v>0</v>
      </c>
      <c r="AE12" s="6">
        <f t="shared" si="5"/>
        <v>0</v>
      </c>
      <c r="AF12" s="6">
        <f t="shared" si="5"/>
        <v>0</v>
      </c>
      <c r="AG12" s="6">
        <f t="shared" si="5"/>
        <v>0</v>
      </c>
      <c r="AH12" s="6">
        <f t="shared" si="5"/>
        <v>0</v>
      </c>
      <c r="AI12" s="7">
        <f t="shared" si="5"/>
        <v>0</v>
      </c>
      <c r="AJ12" s="19"/>
      <c r="AK12" s="19"/>
    </row>
  </sheetData>
  <mergeCells count="26">
    <mergeCell ref="A1:AK1"/>
    <mergeCell ref="A3:A4"/>
    <mergeCell ref="B3:B4"/>
    <mergeCell ref="C3:C4"/>
    <mergeCell ref="AJ3:AJ4"/>
    <mergeCell ref="AK3:AK4"/>
    <mergeCell ref="A7:A8"/>
    <mergeCell ref="B7:B8"/>
    <mergeCell ref="C7:C8"/>
    <mergeCell ref="AJ7:AJ8"/>
    <mergeCell ref="AK7:AK8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  <mergeCell ref="A9:A10"/>
    <mergeCell ref="B9:B10"/>
    <mergeCell ref="C9:C10"/>
    <mergeCell ref="AJ9:AJ10"/>
    <mergeCell ref="AK9:AK10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>
      <selection activeCell="E6" sqref="E6"/>
    </sheetView>
  </sheetViews>
  <sheetFormatPr defaultRowHeight="13.5"/>
  <cols>
    <col min="2" max="2" width="7.5" customWidth="1"/>
    <col min="4" max="4" width="4.875" customWidth="1"/>
    <col min="5" max="35" width="4.625" customWidth="1"/>
  </cols>
  <sheetData>
    <row r="1" spans="1:37" ht="24" customHeight="1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7" ht="28.5" customHeight="1">
      <c r="A2" s="18" t="s">
        <v>0</v>
      </c>
      <c r="B2" s="18" t="s">
        <v>1</v>
      </c>
      <c r="C2" s="18" t="s">
        <v>6</v>
      </c>
      <c r="D2" s="18"/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18">
        <v>31</v>
      </c>
      <c r="AJ2" s="18" t="s">
        <v>5</v>
      </c>
      <c r="AK2" s="18" t="s">
        <v>4</v>
      </c>
    </row>
    <row r="3" spans="1:37" ht="24.75" customHeight="1">
      <c r="A3" s="19" t="s">
        <v>17</v>
      </c>
      <c r="B3" s="19"/>
      <c r="C3" s="19" t="s">
        <v>7</v>
      </c>
      <c r="D3" s="18" t="s">
        <v>2</v>
      </c>
      <c r="E3" s="2">
        <v>4.8</v>
      </c>
      <c r="F3" s="3">
        <v>9</v>
      </c>
      <c r="G3" s="3">
        <v>3</v>
      </c>
      <c r="H3" s="3">
        <v>9</v>
      </c>
      <c r="I3" s="3">
        <v>9</v>
      </c>
      <c r="J3" s="3">
        <v>9</v>
      </c>
      <c r="K3" s="3">
        <v>9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  <c r="R3" s="3">
        <v>9</v>
      </c>
      <c r="S3" s="3">
        <v>8.4700000000000006</v>
      </c>
      <c r="T3" s="3">
        <v>9</v>
      </c>
      <c r="U3" s="3">
        <v>9</v>
      </c>
      <c r="V3" s="3">
        <v>9</v>
      </c>
      <c r="W3" s="3">
        <v>9</v>
      </c>
      <c r="X3" s="3">
        <v>8.92</v>
      </c>
      <c r="Y3" s="3">
        <v>9</v>
      </c>
      <c r="Z3" s="3">
        <v>9</v>
      </c>
      <c r="AA3" s="3">
        <v>9</v>
      </c>
      <c r="AB3" s="3">
        <v>8.24</v>
      </c>
      <c r="AC3" s="3">
        <v>9</v>
      </c>
      <c r="AD3" s="3">
        <v>9</v>
      </c>
      <c r="AE3" s="3">
        <v>9</v>
      </c>
      <c r="AF3" s="3">
        <v>9</v>
      </c>
      <c r="AG3" s="3">
        <v>9</v>
      </c>
      <c r="AH3" s="3">
        <v>9</v>
      </c>
      <c r="AI3" s="4">
        <v>9</v>
      </c>
      <c r="AJ3" s="19">
        <f>SUM(E4:AI4)</f>
        <v>102.84444444444443</v>
      </c>
      <c r="AK3" s="19">
        <f>+B3-AJ3</f>
        <v>-102.84444444444443</v>
      </c>
    </row>
    <row r="4" spans="1:37" ht="24.75" customHeight="1">
      <c r="A4" s="19"/>
      <c r="B4" s="19"/>
      <c r="C4" s="19"/>
      <c r="D4" s="18" t="s">
        <v>3</v>
      </c>
      <c r="E4" s="5">
        <f>+(9-E3)*400/45</f>
        <v>37.333333333333336</v>
      </c>
      <c r="F4" s="5">
        <f t="shared" ref="F4:AI4" si="0">+(9-F3)*400/45</f>
        <v>0</v>
      </c>
      <c r="G4" s="5">
        <f t="shared" si="0"/>
        <v>53.333333333333336</v>
      </c>
      <c r="H4" s="5">
        <f t="shared" si="0"/>
        <v>0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5">
        <f t="shared" si="0"/>
        <v>0</v>
      </c>
      <c r="O4" s="5">
        <f t="shared" si="0"/>
        <v>0</v>
      </c>
      <c r="P4" s="5">
        <f t="shared" si="0"/>
        <v>0</v>
      </c>
      <c r="Q4" s="5">
        <f t="shared" si="0"/>
        <v>0</v>
      </c>
      <c r="R4" s="5">
        <f t="shared" si="0"/>
        <v>0</v>
      </c>
      <c r="S4" s="5">
        <f t="shared" si="0"/>
        <v>4.711111111111105</v>
      </c>
      <c r="T4" s="5">
        <f t="shared" si="0"/>
        <v>0</v>
      </c>
      <c r="U4" s="5">
        <f t="shared" si="0"/>
        <v>0</v>
      </c>
      <c r="V4" s="5">
        <f t="shared" si="0"/>
        <v>0</v>
      </c>
      <c r="W4" s="5">
        <f t="shared" si="0"/>
        <v>0</v>
      </c>
      <c r="X4" s="5">
        <f t="shared" si="0"/>
        <v>0.71111111111111169</v>
      </c>
      <c r="Y4" s="5">
        <f t="shared" si="0"/>
        <v>0</v>
      </c>
      <c r="Z4" s="5">
        <f t="shared" si="0"/>
        <v>0</v>
      </c>
      <c r="AA4" s="5">
        <f t="shared" si="0"/>
        <v>0</v>
      </c>
      <c r="AB4" s="5">
        <f t="shared" si="0"/>
        <v>6.7555555555555529</v>
      </c>
      <c r="AC4" s="5">
        <f t="shared" si="0"/>
        <v>0</v>
      </c>
      <c r="AD4" s="5">
        <f t="shared" si="0"/>
        <v>0</v>
      </c>
      <c r="AE4" s="5">
        <f t="shared" si="0"/>
        <v>0</v>
      </c>
      <c r="AF4" s="5">
        <f t="shared" si="0"/>
        <v>0</v>
      </c>
      <c r="AG4" s="5">
        <f t="shared" si="0"/>
        <v>0</v>
      </c>
      <c r="AH4" s="5">
        <f t="shared" si="0"/>
        <v>0</v>
      </c>
      <c r="AI4" s="5">
        <f t="shared" si="0"/>
        <v>0</v>
      </c>
      <c r="AJ4" s="19"/>
      <c r="AK4" s="19"/>
    </row>
    <row r="5" spans="1:37" ht="24.75" customHeight="1">
      <c r="A5" s="19" t="s">
        <v>9</v>
      </c>
      <c r="B5" s="19"/>
      <c r="C5" s="19" t="s">
        <v>10</v>
      </c>
      <c r="D5" s="18" t="s">
        <v>2</v>
      </c>
      <c r="E5" s="2">
        <v>31</v>
      </c>
      <c r="F5" s="3">
        <v>51.7</v>
      </c>
      <c r="G5" s="3">
        <v>40</v>
      </c>
      <c r="H5" s="3">
        <v>40</v>
      </c>
      <c r="I5" s="3">
        <v>21</v>
      </c>
      <c r="J5" s="3">
        <v>40</v>
      </c>
      <c r="K5" s="3">
        <v>46.7</v>
      </c>
      <c r="L5" s="3">
        <v>51.7</v>
      </c>
      <c r="M5" s="3">
        <v>51.7</v>
      </c>
      <c r="N5" s="3">
        <v>51.7</v>
      </c>
      <c r="O5" s="3">
        <v>51.7</v>
      </c>
      <c r="P5" s="3">
        <v>51.7</v>
      </c>
      <c r="Q5" s="3">
        <v>51.7</v>
      </c>
      <c r="R5" s="3">
        <v>51.7</v>
      </c>
      <c r="S5" s="3">
        <v>47.11</v>
      </c>
      <c r="T5" s="3">
        <v>51.7</v>
      </c>
      <c r="U5" s="3">
        <v>51.7</v>
      </c>
      <c r="V5" s="3">
        <v>51.7</v>
      </c>
      <c r="W5" s="3">
        <v>51.7</v>
      </c>
      <c r="X5" s="3">
        <v>48.3</v>
      </c>
      <c r="Y5" s="3">
        <v>51.7</v>
      </c>
      <c r="Z5" s="3">
        <v>51.7</v>
      </c>
      <c r="AA5" s="3">
        <v>51.7</v>
      </c>
      <c r="AB5" s="3">
        <v>49.1</v>
      </c>
      <c r="AC5" s="3">
        <v>51.7</v>
      </c>
      <c r="AD5" s="3">
        <v>51.7</v>
      </c>
      <c r="AE5" s="3">
        <v>51.7</v>
      </c>
      <c r="AF5" s="3">
        <v>51.7</v>
      </c>
      <c r="AG5" s="3">
        <v>51.7</v>
      </c>
      <c r="AH5" s="3">
        <v>51.7</v>
      </c>
      <c r="AI5" s="3">
        <v>51.7</v>
      </c>
      <c r="AJ5" s="19">
        <f>SUM(E6:AI6)</f>
        <v>183.12107623318391</v>
      </c>
      <c r="AK5" s="19">
        <f>+B5-AJ5</f>
        <v>-183.12107623318391</v>
      </c>
    </row>
    <row r="6" spans="1:37" ht="24.75" customHeight="1">
      <c r="A6" s="19"/>
      <c r="B6" s="19"/>
      <c r="C6" s="19"/>
      <c r="D6" s="18" t="s">
        <v>3</v>
      </c>
      <c r="E6" s="5">
        <f>+(51.7-E5)*400/223</f>
        <v>37.130044843049333</v>
      </c>
      <c r="F6" s="5">
        <f t="shared" ref="F6:AI6" si="1">+(51.7-F5)*400/223</f>
        <v>0</v>
      </c>
      <c r="G6" s="5">
        <f t="shared" si="1"/>
        <v>20.986547085201799</v>
      </c>
      <c r="H6" s="5">
        <f t="shared" si="1"/>
        <v>20.986547085201799</v>
      </c>
      <c r="I6" s="5">
        <f t="shared" si="1"/>
        <v>55.067264573991039</v>
      </c>
      <c r="J6" s="5">
        <f t="shared" si="1"/>
        <v>20.986547085201799</v>
      </c>
      <c r="K6" s="5">
        <f t="shared" si="1"/>
        <v>8.9686098654708513</v>
      </c>
      <c r="L6" s="5">
        <f t="shared" si="1"/>
        <v>0</v>
      </c>
      <c r="M6" s="5">
        <f t="shared" si="1"/>
        <v>0</v>
      </c>
      <c r="N6" s="5">
        <f t="shared" si="1"/>
        <v>0</v>
      </c>
      <c r="O6" s="5">
        <f t="shared" si="1"/>
        <v>0</v>
      </c>
      <c r="P6" s="5">
        <f t="shared" si="1"/>
        <v>0</v>
      </c>
      <c r="Q6" s="5">
        <f t="shared" si="1"/>
        <v>0</v>
      </c>
      <c r="R6" s="5">
        <f t="shared" si="1"/>
        <v>0</v>
      </c>
      <c r="S6" s="5">
        <f t="shared" si="1"/>
        <v>8.233183856502249</v>
      </c>
      <c r="T6" s="5">
        <f t="shared" si="1"/>
        <v>0</v>
      </c>
      <c r="U6" s="5">
        <f t="shared" si="1"/>
        <v>0</v>
      </c>
      <c r="V6" s="5">
        <f t="shared" si="1"/>
        <v>0</v>
      </c>
      <c r="W6" s="5">
        <f t="shared" si="1"/>
        <v>0</v>
      </c>
      <c r="X6" s="5">
        <f t="shared" si="1"/>
        <v>6.0986547085201899</v>
      </c>
      <c r="Y6" s="5">
        <f t="shared" si="1"/>
        <v>0</v>
      </c>
      <c r="Z6" s="5">
        <f t="shared" si="1"/>
        <v>0</v>
      </c>
      <c r="AA6" s="5">
        <f t="shared" si="1"/>
        <v>0</v>
      </c>
      <c r="AB6" s="5">
        <f t="shared" si="1"/>
        <v>4.663677130044845</v>
      </c>
      <c r="AC6" s="5">
        <f t="shared" si="1"/>
        <v>0</v>
      </c>
      <c r="AD6" s="5">
        <f t="shared" si="1"/>
        <v>0</v>
      </c>
      <c r="AE6" s="5">
        <f t="shared" si="1"/>
        <v>0</v>
      </c>
      <c r="AF6" s="5">
        <f t="shared" si="1"/>
        <v>0</v>
      </c>
      <c r="AG6" s="5">
        <f t="shared" si="1"/>
        <v>0</v>
      </c>
      <c r="AH6" s="5">
        <f t="shared" si="1"/>
        <v>0</v>
      </c>
      <c r="AI6" s="5">
        <f t="shared" si="1"/>
        <v>0</v>
      </c>
      <c r="AJ6" s="19"/>
      <c r="AK6" s="19"/>
    </row>
    <row r="7" spans="1:37" ht="24.75" customHeight="1">
      <c r="A7" s="19" t="s">
        <v>11</v>
      </c>
      <c r="B7" s="19"/>
      <c r="C7" s="20">
        <v>0.95</v>
      </c>
      <c r="D7" s="18" t="s">
        <v>2</v>
      </c>
      <c r="E7" s="2">
        <v>80</v>
      </c>
      <c r="F7" s="3">
        <v>95</v>
      </c>
      <c r="G7" s="3">
        <v>80</v>
      </c>
      <c r="H7" s="3">
        <v>95</v>
      </c>
      <c r="I7" s="3">
        <v>65</v>
      </c>
      <c r="J7" s="3">
        <v>84</v>
      </c>
      <c r="K7" s="3">
        <v>95</v>
      </c>
      <c r="L7" s="3">
        <v>95</v>
      </c>
      <c r="M7" s="3">
        <v>95</v>
      </c>
      <c r="N7" s="3">
        <v>95</v>
      </c>
      <c r="O7" s="3">
        <v>95</v>
      </c>
      <c r="P7" s="3">
        <v>95</v>
      </c>
      <c r="Q7" s="3">
        <v>95</v>
      </c>
      <c r="R7" s="3">
        <v>95</v>
      </c>
      <c r="S7" s="3">
        <v>95</v>
      </c>
      <c r="T7" s="3">
        <v>95</v>
      </c>
      <c r="U7" s="3">
        <v>95</v>
      </c>
      <c r="V7" s="3">
        <v>88</v>
      </c>
      <c r="W7" s="3">
        <v>95</v>
      </c>
      <c r="X7" s="3">
        <v>78.099999999999994</v>
      </c>
      <c r="Y7" s="3">
        <v>95</v>
      </c>
      <c r="Z7" s="3">
        <v>95</v>
      </c>
      <c r="AA7" s="3">
        <v>95</v>
      </c>
      <c r="AB7" s="3">
        <v>80</v>
      </c>
      <c r="AC7" s="3">
        <v>95</v>
      </c>
      <c r="AD7" s="3">
        <v>95</v>
      </c>
      <c r="AE7" s="3">
        <v>95</v>
      </c>
      <c r="AF7" s="3">
        <v>95</v>
      </c>
      <c r="AG7" s="3">
        <v>95</v>
      </c>
      <c r="AH7" s="3">
        <v>95</v>
      </c>
      <c r="AI7" s="3">
        <v>95</v>
      </c>
      <c r="AJ7" s="19">
        <f>SUM(E8:AI8)</f>
        <v>68.15503875968993</v>
      </c>
      <c r="AK7" s="19">
        <f>+B7-AJ7</f>
        <v>-68.15503875968993</v>
      </c>
    </row>
    <row r="8" spans="1:37" ht="24.75" customHeight="1">
      <c r="A8" s="19"/>
      <c r="B8" s="19"/>
      <c r="C8" s="19"/>
      <c r="D8" s="18" t="s">
        <v>3</v>
      </c>
      <c r="E8" s="5">
        <f>+(95-E7)*400/645</f>
        <v>9.3023255813953494</v>
      </c>
      <c r="F8" s="5">
        <f t="shared" ref="F8:AI8" si="2">+(95-F7)*400/645</f>
        <v>0</v>
      </c>
      <c r="G8" s="5">
        <f t="shared" si="2"/>
        <v>9.3023255813953494</v>
      </c>
      <c r="H8" s="5">
        <f t="shared" si="2"/>
        <v>0</v>
      </c>
      <c r="I8" s="5">
        <f t="shared" si="2"/>
        <v>18.604651162790699</v>
      </c>
      <c r="J8" s="5">
        <f t="shared" si="2"/>
        <v>6.8217054263565888</v>
      </c>
      <c r="K8" s="5">
        <f t="shared" si="2"/>
        <v>0</v>
      </c>
      <c r="L8" s="5">
        <f t="shared" si="2"/>
        <v>0</v>
      </c>
      <c r="M8" s="5">
        <f t="shared" si="2"/>
        <v>0</v>
      </c>
      <c r="N8" s="5">
        <f t="shared" si="2"/>
        <v>0</v>
      </c>
      <c r="O8" s="5">
        <f t="shared" si="2"/>
        <v>0</v>
      </c>
      <c r="P8" s="5">
        <f t="shared" si="2"/>
        <v>0</v>
      </c>
      <c r="Q8" s="5">
        <f t="shared" si="2"/>
        <v>0</v>
      </c>
      <c r="R8" s="5">
        <f t="shared" si="2"/>
        <v>0</v>
      </c>
      <c r="S8" s="5">
        <f t="shared" si="2"/>
        <v>0</v>
      </c>
      <c r="T8" s="5">
        <f t="shared" si="2"/>
        <v>0</v>
      </c>
      <c r="U8" s="5">
        <f t="shared" si="2"/>
        <v>0</v>
      </c>
      <c r="V8" s="5">
        <f t="shared" si="2"/>
        <v>4.3410852713178292</v>
      </c>
      <c r="W8" s="5">
        <f t="shared" si="2"/>
        <v>0</v>
      </c>
      <c r="X8" s="5">
        <f t="shared" si="2"/>
        <v>10.480620155038762</v>
      </c>
      <c r="Y8" s="5">
        <f t="shared" si="2"/>
        <v>0</v>
      </c>
      <c r="Z8" s="5">
        <f t="shared" si="2"/>
        <v>0</v>
      </c>
      <c r="AA8" s="5">
        <f t="shared" si="2"/>
        <v>0</v>
      </c>
      <c r="AB8" s="5">
        <f t="shared" si="2"/>
        <v>9.3023255813953494</v>
      </c>
      <c r="AC8" s="5">
        <f t="shared" si="2"/>
        <v>0</v>
      </c>
      <c r="AD8" s="5">
        <f t="shared" si="2"/>
        <v>0</v>
      </c>
      <c r="AE8" s="5">
        <f t="shared" si="2"/>
        <v>0</v>
      </c>
      <c r="AF8" s="5">
        <f t="shared" si="2"/>
        <v>0</v>
      </c>
      <c r="AG8" s="5">
        <f t="shared" si="2"/>
        <v>0</v>
      </c>
      <c r="AH8" s="5">
        <f t="shared" si="2"/>
        <v>0</v>
      </c>
      <c r="AI8" s="5">
        <f t="shared" si="2"/>
        <v>0</v>
      </c>
      <c r="AJ8" s="19"/>
      <c r="AK8" s="19"/>
    </row>
    <row r="9" spans="1:37" ht="24.75" customHeight="1">
      <c r="A9" s="19" t="s">
        <v>12</v>
      </c>
      <c r="B9" s="19"/>
      <c r="C9" s="20" t="s">
        <v>13</v>
      </c>
      <c r="D9" s="18" t="s">
        <v>2</v>
      </c>
      <c r="E9" s="2">
        <v>2</v>
      </c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2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2</v>
      </c>
      <c r="S9" s="3">
        <v>0.9</v>
      </c>
      <c r="T9" s="3">
        <v>2</v>
      </c>
      <c r="U9" s="3">
        <v>2</v>
      </c>
      <c r="V9" s="3">
        <v>2</v>
      </c>
      <c r="W9" s="3">
        <v>2</v>
      </c>
      <c r="X9" s="3">
        <v>1.5</v>
      </c>
      <c r="Y9" s="3">
        <v>2</v>
      </c>
      <c r="Z9" s="3">
        <v>2</v>
      </c>
      <c r="AA9" s="3">
        <v>2</v>
      </c>
      <c r="AB9" s="3">
        <v>2</v>
      </c>
      <c r="AC9" s="3">
        <v>2</v>
      </c>
      <c r="AD9" s="3">
        <v>2</v>
      </c>
      <c r="AE9" s="3">
        <v>2</v>
      </c>
      <c r="AF9" s="3">
        <v>2</v>
      </c>
      <c r="AG9" s="3">
        <v>2</v>
      </c>
      <c r="AH9" s="3">
        <v>2</v>
      </c>
      <c r="AI9" s="3">
        <v>2</v>
      </c>
      <c r="AJ9" s="19">
        <f>SUM(E10:AI10)</f>
        <v>640</v>
      </c>
      <c r="AK9" s="19">
        <f>+B9-AJ9</f>
        <v>-640</v>
      </c>
    </row>
    <row r="10" spans="1:37" ht="24.75" customHeight="1">
      <c r="A10" s="19"/>
      <c r="B10" s="19"/>
      <c r="C10" s="19"/>
      <c r="D10" s="18" t="s">
        <v>3</v>
      </c>
      <c r="E10" s="6">
        <f>+(2-E9)*400</f>
        <v>0</v>
      </c>
      <c r="F10" s="6">
        <f t="shared" ref="F10:AI10" si="3">+(2-F9)*400</f>
        <v>0</v>
      </c>
      <c r="G10" s="6">
        <f t="shared" si="3"/>
        <v>0</v>
      </c>
      <c r="H10" s="6">
        <f t="shared" si="3"/>
        <v>0</v>
      </c>
      <c r="I10" s="6">
        <f t="shared" si="3"/>
        <v>0</v>
      </c>
      <c r="J10" s="6">
        <f t="shared" si="3"/>
        <v>0</v>
      </c>
      <c r="K10" s="6">
        <f t="shared" si="3"/>
        <v>0</v>
      </c>
      <c r="L10" s="6">
        <f t="shared" si="3"/>
        <v>0</v>
      </c>
      <c r="M10" s="6">
        <f t="shared" si="3"/>
        <v>0</v>
      </c>
      <c r="N10" s="6">
        <f t="shared" si="3"/>
        <v>0</v>
      </c>
      <c r="O10" s="6">
        <f t="shared" si="3"/>
        <v>0</v>
      </c>
      <c r="P10" s="6">
        <f t="shared" si="3"/>
        <v>0</v>
      </c>
      <c r="Q10" s="6">
        <f t="shared" si="3"/>
        <v>0</v>
      </c>
      <c r="R10" s="6">
        <f t="shared" si="3"/>
        <v>0</v>
      </c>
      <c r="S10" s="6">
        <f t="shared" si="3"/>
        <v>440.00000000000006</v>
      </c>
      <c r="T10" s="6">
        <f t="shared" si="3"/>
        <v>0</v>
      </c>
      <c r="U10" s="6">
        <f t="shared" si="3"/>
        <v>0</v>
      </c>
      <c r="V10" s="6">
        <f t="shared" si="3"/>
        <v>0</v>
      </c>
      <c r="W10" s="6">
        <f t="shared" si="3"/>
        <v>0</v>
      </c>
      <c r="X10" s="6">
        <f t="shared" si="3"/>
        <v>200</v>
      </c>
      <c r="Y10" s="6">
        <f t="shared" si="3"/>
        <v>0</v>
      </c>
      <c r="Z10" s="6">
        <f t="shared" si="3"/>
        <v>0</v>
      </c>
      <c r="AA10" s="6">
        <f t="shared" si="3"/>
        <v>0</v>
      </c>
      <c r="AB10" s="6">
        <f t="shared" si="3"/>
        <v>0</v>
      </c>
      <c r="AC10" s="6">
        <f t="shared" si="3"/>
        <v>0</v>
      </c>
      <c r="AD10" s="6">
        <f t="shared" si="3"/>
        <v>0</v>
      </c>
      <c r="AE10" s="6">
        <f t="shared" si="3"/>
        <v>0</v>
      </c>
      <c r="AF10" s="6">
        <f t="shared" si="3"/>
        <v>0</v>
      </c>
      <c r="AG10" s="6">
        <f t="shared" si="3"/>
        <v>0</v>
      </c>
      <c r="AH10" s="6">
        <f t="shared" si="3"/>
        <v>0</v>
      </c>
      <c r="AI10" s="6">
        <f t="shared" si="3"/>
        <v>0</v>
      </c>
      <c r="AJ10" s="19"/>
      <c r="AK10" s="19"/>
    </row>
    <row r="11" spans="1:37" ht="24.75" customHeight="1">
      <c r="A11" s="19" t="s">
        <v>14</v>
      </c>
      <c r="B11" s="19"/>
      <c r="C11" s="20" t="s">
        <v>15</v>
      </c>
      <c r="D11" s="18" t="s">
        <v>2</v>
      </c>
      <c r="E11" s="2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  <c r="U11" s="3">
        <v>2</v>
      </c>
      <c r="V11" s="3">
        <v>2</v>
      </c>
      <c r="W11" s="3">
        <v>2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4">
        <v>2</v>
      </c>
      <c r="AJ11" s="19">
        <f>SUM(E12:AI12)</f>
        <v>0</v>
      </c>
      <c r="AK11" s="19">
        <f>+B11-AJ11</f>
        <v>0</v>
      </c>
    </row>
    <row r="12" spans="1:37" ht="24.75" customHeight="1">
      <c r="A12" s="19"/>
      <c r="B12" s="19"/>
      <c r="C12" s="19"/>
      <c r="D12" s="18" t="s">
        <v>3</v>
      </c>
      <c r="E12" s="5">
        <f>+(2-E11)*400</f>
        <v>0</v>
      </c>
      <c r="F12" s="5">
        <f t="shared" ref="F12:AI12" si="4">+(2-F11)*400</f>
        <v>0</v>
      </c>
      <c r="G12" s="5">
        <f t="shared" si="4"/>
        <v>0</v>
      </c>
      <c r="H12" s="5">
        <f t="shared" si="4"/>
        <v>0</v>
      </c>
      <c r="I12" s="5">
        <f t="shared" si="4"/>
        <v>0</v>
      </c>
      <c r="J12" s="5">
        <f t="shared" si="4"/>
        <v>0</v>
      </c>
      <c r="K12" s="5">
        <f t="shared" si="4"/>
        <v>0</v>
      </c>
      <c r="L12" s="5">
        <f t="shared" si="4"/>
        <v>0</v>
      </c>
      <c r="M12" s="5">
        <f t="shared" si="4"/>
        <v>0</v>
      </c>
      <c r="N12" s="5">
        <f t="shared" si="4"/>
        <v>0</v>
      </c>
      <c r="O12" s="5">
        <f t="shared" si="4"/>
        <v>0</v>
      </c>
      <c r="P12" s="5">
        <f t="shared" si="4"/>
        <v>0</v>
      </c>
      <c r="Q12" s="5">
        <f t="shared" si="4"/>
        <v>0</v>
      </c>
      <c r="R12" s="5">
        <f t="shared" si="4"/>
        <v>0</v>
      </c>
      <c r="S12" s="5">
        <f t="shared" si="4"/>
        <v>0</v>
      </c>
      <c r="T12" s="5">
        <f t="shared" si="4"/>
        <v>0</v>
      </c>
      <c r="U12" s="5">
        <f t="shared" si="4"/>
        <v>0</v>
      </c>
      <c r="V12" s="5">
        <f t="shared" si="4"/>
        <v>0</v>
      </c>
      <c r="W12" s="5">
        <f t="shared" si="4"/>
        <v>0</v>
      </c>
      <c r="X12" s="5">
        <f t="shared" si="4"/>
        <v>0</v>
      </c>
      <c r="Y12" s="5">
        <f t="shared" si="4"/>
        <v>0</v>
      </c>
      <c r="Z12" s="5">
        <f t="shared" si="4"/>
        <v>0</v>
      </c>
      <c r="AA12" s="5">
        <f t="shared" si="4"/>
        <v>0</v>
      </c>
      <c r="AB12" s="5">
        <f t="shared" si="4"/>
        <v>0</v>
      </c>
      <c r="AC12" s="5">
        <f t="shared" si="4"/>
        <v>0</v>
      </c>
      <c r="AD12" s="5">
        <f t="shared" si="4"/>
        <v>0</v>
      </c>
      <c r="AE12" s="5">
        <f t="shared" si="4"/>
        <v>0</v>
      </c>
      <c r="AF12" s="5">
        <f t="shared" si="4"/>
        <v>0</v>
      </c>
      <c r="AG12" s="5">
        <f t="shared" si="4"/>
        <v>0</v>
      </c>
      <c r="AH12" s="5">
        <f t="shared" si="4"/>
        <v>0</v>
      </c>
      <c r="AI12" s="5">
        <f t="shared" si="4"/>
        <v>0</v>
      </c>
      <c r="AJ12" s="19"/>
      <c r="AK12" s="19"/>
    </row>
  </sheetData>
  <mergeCells count="26">
    <mergeCell ref="A1:AK1"/>
    <mergeCell ref="A3:A4"/>
    <mergeCell ref="B3:B4"/>
    <mergeCell ref="C3:C4"/>
    <mergeCell ref="AJ3:AJ4"/>
    <mergeCell ref="AK3:AK4"/>
    <mergeCell ref="A7:A8"/>
    <mergeCell ref="B7:B8"/>
    <mergeCell ref="C7:C8"/>
    <mergeCell ref="AJ7:AJ8"/>
    <mergeCell ref="AK7:AK8"/>
    <mergeCell ref="A5:A6"/>
    <mergeCell ref="B5:B6"/>
    <mergeCell ref="C5:C6"/>
    <mergeCell ref="AJ5:AJ6"/>
    <mergeCell ref="AK5:AK6"/>
    <mergeCell ref="A11:A12"/>
    <mergeCell ref="B11:B12"/>
    <mergeCell ref="C11:C12"/>
    <mergeCell ref="AJ11:AJ12"/>
    <mergeCell ref="AK11:AK12"/>
    <mergeCell ref="A9:A10"/>
    <mergeCell ref="B9:B10"/>
    <mergeCell ref="C9:C10"/>
    <mergeCell ref="AJ9:AJ10"/>
    <mergeCell ref="AK9:AK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2026-05-11T11:00:56Z</dcterms:modified>
</cp:coreProperties>
</file>