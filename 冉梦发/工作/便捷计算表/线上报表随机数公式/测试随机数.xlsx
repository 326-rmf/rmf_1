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4000" windowHeight="9345" tabRatio="727"/>
  </bookViews>
  <sheets>
    <sheet name="3.27" sheetId="350" r:id="rId1"/>
    <sheet name="Sheet1" sheetId="372" state="hidden" r:id="rId2"/>
    <sheet name="11.9" sheetId="344" state="hidden" r:id="rId3"/>
    <sheet name="11.10" sheetId="352" state="hidden" r:id="rId4"/>
    <sheet name="Sheet3" sheetId="373" state="hidden" r:id="rId5"/>
    <sheet name="Sheet2" sheetId="380" state="hidden" r:id="rId6"/>
  </sheets>
  <definedNames>
    <definedName name="_xlnm.Print_Area" localSheetId="3">'11.10'!$A$1:$O$61</definedName>
    <definedName name="_xlnm.Print_Area" localSheetId="2">'11.9'!$A$1:$O$61</definedName>
    <definedName name="_xlnm.Print_Area" localSheetId="0">'3.27'!$A$1:$O$61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50"/>
  <c r="D3"/>
  <c r="D4"/>
  <c r="D5"/>
  <c r="D6"/>
  <c r="D7"/>
  <c r="D8"/>
  <c r="D9"/>
  <c r="D39"/>
  <c r="D38"/>
  <c r="D37"/>
  <c r="D36"/>
  <c r="D35"/>
  <c r="D34"/>
  <c r="D33"/>
  <c r="D32"/>
  <c r="D31"/>
  <c r="E31" s="1"/>
  <c r="D30"/>
  <c r="D29"/>
  <c r="D28"/>
  <c r="D27"/>
  <c r="E27" s="1"/>
  <c r="D26"/>
  <c r="E26" s="1"/>
  <c r="D25"/>
  <c r="D24"/>
  <c r="D23"/>
  <c r="D22"/>
  <c r="E22" s="1"/>
  <c r="D21"/>
  <c r="D20"/>
  <c r="D19"/>
  <c r="D18"/>
  <c r="E18" s="1"/>
  <c r="D17"/>
  <c r="D16"/>
  <c r="D15"/>
  <c r="D14"/>
  <c r="E14" s="1"/>
  <c r="D13"/>
  <c r="D12"/>
  <c r="D11"/>
  <c r="D10"/>
  <c r="E10" s="1"/>
  <c r="D1"/>
  <c r="S12"/>
  <c r="S50"/>
  <c r="S49"/>
  <c r="S48"/>
  <c r="S46"/>
  <c r="S45"/>
  <c r="S44"/>
  <c r="S42"/>
  <c r="S41"/>
  <c r="S40"/>
  <c r="S38"/>
  <c r="S37"/>
  <c r="S36"/>
  <c r="S34"/>
  <c r="S33"/>
  <c r="S31"/>
  <c r="S29"/>
  <c r="S27"/>
  <c r="S24"/>
  <c r="S22"/>
  <c r="S20"/>
  <c r="S18"/>
  <c r="S16"/>
  <c r="S8"/>
  <c r="S7"/>
  <c r="S47"/>
  <c r="S43"/>
  <c r="S39"/>
  <c r="S35"/>
  <c r="S32"/>
  <c r="S30"/>
  <c r="S28"/>
  <c r="S26"/>
  <c r="S25"/>
  <c r="S23"/>
  <c r="S21"/>
  <c r="S19"/>
  <c r="S15"/>
  <c r="S14"/>
  <c r="S13"/>
  <c r="S11"/>
  <c r="S10"/>
  <c r="S9"/>
  <c r="S1"/>
  <c r="S2"/>
  <c r="S3"/>
  <c r="S4"/>
  <c r="S5"/>
  <c r="S6"/>
  <c r="S17"/>
</calcChain>
</file>

<file path=xl/sharedStrings.xml><?xml version="1.0" encoding="utf-8"?>
<sst xmlns="http://schemas.openxmlformats.org/spreadsheetml/2006/main" count="951" uniqueCount="332">
  <si>
    <r>
      <t xml:space="preserve"> </t>
    </r>
    <r>
      <rPr>
        <sz val="12"/>
        <rFont val="宋体"/>
        <family val="3"/>
        <charset val="134"/>
      </rPr>
      <t xml:space="preserve">                              </t>
    </r>
    <r>
      <rPr>
        <sz val="11"/>
        <rFont val="宋体"/>
        <family val="3"/>
        <charset val="134"/>
      </rPr>
      <t xml:space="preserve"> 槽液分析添加记录表</t>
    </r>
  </si>
  <si>
    <t>机台别：S</t>
    <phoneticPr fontId="1" type="noConversion"/>
  </si>
  <si>
    <t>日期:</t>
  </si>
  <si>
    <t>槽别</t>
  </si>
  <si>
    <t>分析成分</t>
  </si>
  <si>
    <t>单位</t>
  </si>
  <si>
    <t>管控范围</t>
  </si>
  <si>
    <t>最佳范围</t>
  </si>
  <si>
    <t>目标值</t>
  </si>
  <si>
    <t>分析结果</t>
  </si>
  <si>
    <t>体积L</t>
  </si>
  <si>
    <t>添加记录</t>
  </si>
  <si>
    <t>确认值</t>
  </si>
  <si>
    <t>备注</t>
  </si>
  <si>
    <t>白班</t>
  </si>
  <si>
    <t>夜班</t>
  </si>
  <si>
    <t>除油粉</t>
  </si>
  <si>
    <r>
      <t>Be</t>
    </r>
    <r>
      <rPr>
        <vertAlign val="superscript"/>
        <sz val="9"/>
        <rFont val="Arial"/>
        <family val="2"/>
      </rPr>
      <t>O</t>
    </r>
  </si>
  <si>
    <r>
      <t>8-1</t>
    </r>
    <r>
      <rPr>
        <sz val="9"/>
        <color indexed="8"/>
        <rFont val="宋体"/>
        <family val="3"/>
        <charset val="134"/>
      </rPr>
      <t>4</t>
    </r>
    <phoneticPr fontId="1" type="noConversion"/>
  </si>
  <si>
    <r>
      <t>9-1</t>
    </r>
    <r>
      <rPr>
        <sz val="9"/>
        <color indexed="8"/>
        <rFont val="宋体"/>
        <family val="3"/>
        <charset val="134"/>
      </rPr>
      <t>3</t>
    </r>
    <phoneticPr fontId="1" type="noConversion"/>
  </si>
  <si>
    <t>kg</t>
  </si>
  <si>
    <t xml:space="preserve">                                                                                                    </t>
  </si>
  <si>
    <t>电解脱脂1</t>
    <phoneticPr fontId="1" type="noConversion"/>
  </si>
  <si>
    <t>电解脱脂2</t>
  </si>
  <si>
    <t>电解脱脂3</t>
  </si>
  <si>
    <t>8-14</t>
    <phoneticPr fontId="1" type="noConversion"/>
  </si>
  <si>
    <t>抛光</t>
    <phoneticPr fontId="1" type="noConversion"/>
  </si>
  <si>
    <t>%</t>
    <phoneticPr fontId="1" type="noConversion"/>
  </si>
  <si>
    <t>20-40%</t>
    <phoneticPr fontId="1" type="noConversion"/>
  </si>
  <si>
    <t>30%</t>
    <phoneticPr fontId="1" type="noConversion"/>
  </si>
  <si>
    <t>活化</t>
    <phoneticPr fontId="1" type="noConversion"/>
  </si>
  <si>
    <t>硫酸</t>
  </si>
  <si>
    <r>
      <t>1</t>
    </r>
    <r>
      <rPr>
        <sz val="9"/>
        <color indexed="8"/>
        <rFont val="宋体"/>
        <family val="3"/>
        <charset val="134"/>
      </rPr>
      <t>0-16</t>
    </r>
    <phoneticPr fontId="1" type="noConversion"/>
  </si>
  <si>
    <r>
      <t>11-1</t>
    </r>
    <r>
      <rPr>
        <sz val="9"/>
        <color indexed="8"/>
        <rFont val="宋体"/>
        <family val="3"/>
        <charset val="134"/>
      </rPr>
      <t>5</t>
    </r>
    <phoneticPr fontId="1" type="noConversion"/>
  </si>
  <si>
    <t>L</t>
  </si>
  <si>
    <r>
      <t>Ni</t>
    </r>
    <r>
      <rPr>
        <vertAlign val="superscript"/>
        <sz val="10"/>
        <rFont val="Times New Roman"/>
        <family val="1"/>
      </rPr>
      <t>2+</t>
    </r>
  </si>
  <si>
    <t>g/L</t>
  </si>
  <si>
    <t>40-60</t>
    <phoneticPr fontId="1" type="noConversion"/>
  </si>
  <si>
    <t>PH</t>
  </si>
  <si>
    <t>/</t>
  </si>
  <si>
    <t>＜1</t>
  </si>
  <si>
    <t>S1修正镍</t>
    <phoneticPr fontId="1" type="noConversion"/>
  </si>
  <si>
    <t>80-110</t>
  </si>
  <si>
    <r>
      <t>8</t>
    </r>
    <r>
      <rPr>
        <sz val="9"/>
        <rFont val="宋体"/>
        <family val="3"/>
        <charset val="134"/>
      </rPr>
      <t>5</t>
    </r>
    <r>
      <rPr>
        <sz val="9"/>
        <rFont val="宋体"/>
        <family val="3"/>
        <charset val="134"/>
      </rPr>
      <t>-100</t>
    </r>
    <phoneticPr fontId="1" type="noConversion"/>
  </si>
  <si>
    <r>
      <t xml:space="preserve"> H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BO</t>
    </r>
    <r>
      <rPr>
        <vertAlign val="subscript"/>
        <sz val="10"/>
        <rFont val="Times New Roman"/>
        <family val="1"/>
      </rPr>
      <t>3</t>
    </r>
  </si>
  <si>
    <t>35-45</t>
  </si>
  <si>
    <t>38-42</t>
  </si>
  <si>
    <t>1.5-2.5</t>
  </si>
  <si>
    <t>1.8-2.2</t>
  </si>
  <si>
    <r>
      <t>S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修正镍</t>
    </r>
    <phoneticPr fontId="1" type="noConversion"/>
  </si>
  <si>
    <t>S1线NI-5普镍</t>
    <phoneticPr fontId="1" type="noConversion"/>
  </si>
  <si>
    <t>85-100</t>
  </si>
  <si>
    <r>
      <t xml:space="preserve"> NiCl</t>
    </r>
    <r>
      <rPr>
        <vertAlign val="subscript"/>
        <sz val="10"/>
        <rFont val="Times New Roman"/>
        <family val="1"/>
      </rPr>
      <t>2</t>
    </r>
  </si>
  <si>
    <t>5-15</t>
    <phoneticPr fontId="1" type="noConversion"/>
  </si>
  <si>
    <t>8-12</t>
  </si>
  <si>
    <t>3.8-4.6</t>
  </si>
  <si>
    <t>4.0-4.4</t>
  </si>
  <si>
    <t>S2线NI-5普镍</t>
    <phoneticPr fontId="1" type="noConversion"/>
  </si>
  <si>
    <t>5-15</t>
  </si>
  <si>
    <t>616高温镍</t>
  </si>
  <si>
    <t>L</t>
    <phoneticPr fontId="1" type="noConversion"/>
  </si>
  <si>
    <t>2.0-3.0</t>
  </si>
  <si>
    <t>2.3-2.7</t>
  </si>
  <si>
    <t>预镀钯</t>
  </si>
  <si>
    <t>Ni</t>
  </si>
  <si>
    <r>
      <t>7-1</t>
    </r>
    <r>
      <rPr>
        <sz val="9"/>
        <rFont val="宋体"/>
        <family val="3"/>
        <charset val="134"/>
      </rPr>
      <t>3</t>
    </r>
  </si>
  <si>
    <t>7.0-8.0</t>
  </si>
  <si>
    <t>7.1-7.9</t>
  </si>
  <si>
    <t>玻美度</t>
  </si>
  <si>
    <t>8-12</t>
    <phoneticPr fontId="1" type="noConversion"/>
  </si>
  <si>
    <t>9-11</t>
    <phoneticPr fontId="1" type="noConversion"/>
  </si>
  <si>
    <t>S1镀钯镍  900TC</t>
    <phoneticPr fontId="1" type="noConversion"/>
  </si>
  <si>
    <t>Pd浓度</t>
  </si>
  <si>
    <r>
      <t>1</t>
    </r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-22</t>
    </r>
    <phoneticPr fontId="1" type="noConversion"/>
  </si>
  <si>
    <r>
      <t>1</t>
    </r>
    <r>
      <rPr>
        <sz val="9"/>
        <rFont val="宋体"/>
        <family val="3"/>
        <charset val="134"/>
      </rPr>
      <t>5</t>
    </r>
    <r>
      <rPr>
        <sz val="9"/>
        <rFont val="宋体"/>
        <family val="3"/>
        <charset val="134"/>
      </rPr>
      <t>-2</t>
    </r>
    <r>
      <rPr>
        <sz val="9"/>
        <rFont val="宋体"/>
        <family val="3"/>
        <charset val="134"/>
      </rPr>
      <t>0</t>
    </r>
    <phoneticPr fontId="1" type="noConversion"/>
  </si>
  <si>
    <t>g</t>
  </si>
  <si>
    <t>Ni浓度</t>
  </si>
  <si>
    <r>
      <t>10-1</t>
    </r>
    <r>
      <rPr>
        <sz val="9"/>
        <rFont val="宋体"/>
        <family val="3"/>
        <charset val="134"/>
      </rPr>
      <t>8</t>
    </r>
    <phoneticPr fontId="1" type="noConversion"/>
  </si>
  <si>
    <r>
      <t>11-1</t>
    </r>
    <r>
      <rPr>
        <sz val="9"/>
        <rFont val="宋体"/>
        <family val="3"/>
        <charset val="134"/>
      </rPr>
      <t>7</t>
    </r>
    <phoneticPr fontId="1" type="noConversion"/>
  </si>
  <si>
    <t>14-24</t>
    <phoneticPr fontId="1" type="noConversion"/>
  </si>
  <si>
    <t>15-23</t>
    <phoneticPr fontId="1" type="noConversion"/>
  </si>
  <si>
    <r>
      <t>7.</t>
    </r>
    <r>
      <rPr>
        <sz val="9"/>
        <rFont val="宋体"/>
        <family val="3"/>
        <charset val="134"/>
      </rPr>
      <t>0</t>
    </r>
    <r>
      <rPr>
        <sz val="9"/>
        <rFont val="宋体"/>
        <family val="3"/>
        <charset val="134"/>
      </rPr>
      <t>-</t>
    </r>
    <r>
      <rPr>
        <sz val="9"/>
        <rFont val="宋体"/>
        <family val="3"/>
        <charset val="134"/>
      </rPr>
      <t>8.0</t>
    </r>
    <phoneticPr fontId="1" type="noConversion"/>
  </si>
  <si>
    <r>
      <t>7.</t>
    </r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-7.</t>
    </r>
    <r>
      <rPr>
        <sz val="9"/>
        <rFont val="宋体"/>
        <family val="3"/>
        <charset val="134"/>
      </rPr>
      <t>9</t>
    </r>
    <phoneticPr fontId="1" type="noConversion"/>
  </si>
  <si>
    <t>S2镀钯镍  900TC</t>
    <phoneticPr fontId="1" type="noConversion"/>
  </si>
  <si>
    <t>14-22</t>
  </si>
  <si>
    <t>15-20</t>
  </si>
  <si>
    <t>10-18</t>
  </si>
  <si>
    <t>11-17</t>
  </si>
  <si>
    <t>14-24</t>
  </si>
  <si>
    <t>15-23</t>
  </si>
  <si>
    <t xml:space="preserve">S1镀金
</t>
    <phoneticPr fontId="1" type="noConversion"/>
  </si>
  <si>
    <t>浓度</t>
  </si>
  <si>
    <t>4-12</t>
    <phoneticPr fontId="1" type="noConversion"/>
  </si>
  <si>
    <t>5-11</t>
    <phoneticPr fontId="1" type="noConversion"/>
  </si>
  <si>
    <t>8-16</t>
    <phoneticPr fontId="1" type="noConversion"/>
  </si>
  <si>
    <t>8.5-14</t>
    <phoneticPr fontId="1" type="noConversion"/>
  </si>
  <si>
    <t>Co</t>
  </si>
  <si>
    <t>0.3-1.2</t>
    <phoneticPr fontId="1" type="noConversion"/>
  </si>
  <si>
    <t>0.4-0.8</t>
  </si>
  <si>
    <t xml:space="preserve">S2镀金
</t>
    <phoneticPr fontId="1" type="noConversion"/>
  </si>
  <si>
    <t>1.5-4</t>
  </si>
  <si>
    <t>2-3.5</t>
  </si>
  <si>
    <t>8.5-11</t>
  </si>
  <si>
    <t>0.1-0.4</t>
    <phoneticPr fontId="1" type="noConversion"/>
  </si>
  <si>
    <t>S1雾锡</t>
    <phoneticPr fontId="1" type="noConversion"/>
  </si>
  <si>
    <r>
      <t xml:space="preserve">  </t>
    </r>
    <r>
      <rPr>
        <sz val="10"/>
        <rFont val="Times New Roman"/>
        <family val="1"/>
      </rPr>
      <t>Sn</t>
    </r>
    <r>
      <rPr>
        <vertAlign val="superscript"/>
        <sz val="10"/>
        <rFont val="宋体"/>
        <family val="3"/>
        <charset val="134"/>
      </rPr>
      <t>2+</t>
    </r>
    <phoneticPr fontId="1" type="noConversion"/>
  </si>
  <si>
    <r>
      <t>40-</t>
    </r>
    <r>
      <rPr>
        <sz val="9"/>
        <rFont val="宋体"/>
        <family val="3"/>
        <charset val="134"/>
      </rPr>
      <t>60</t>
    </r>
    <phoneticPr fontId="1" type="noConversion"/>
  </si>
  <si>
    <r>
      <t>4</t>
    </r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-5</t>
    </r>
    <r>
      <rPr>
        <sz val="9"/>
        <rFont val="宋体"/>
        <family val="3"/>
        <charset val="134"/>
      </rPr>
      <t>9</t>
    </r>
    <phoneticPr fontId="1" type="noConversion"/>
  </si>
  <si>
    <r>
      <t xml:space="preserve">  </t>
    </r>
    <r>
      <rPr>
        <sz val="10"/>
        <rFont val="Times New Roman"/>
        <family val="1"/>
      </rPr>
      <t>AClD</t>
    </r>
  </si>
  <si>
    <t>mL/L</t>
  </si>
  <si>
    <r>
      <t>80-</t>
    </r>
    <r>
      <rPr>
        <sz val="9"/>
        <rFont val="宋体"/>
        <family val="3"/>
        <charset val="134"/>
      </rPr>
      <t>150</t>
    </r>
    <phoneticPr fontId="1" type="noConversion"/>
  </si>
  <si>
    <r>
      <t>9</t>
    </r>
    <r>
      <rPr>
        <sz val="9"/>
        <rFont val="宋体"/>
        <family val="3"/>
        <charset val="134"/>
      </rPr>
      <t>0-140</t>
    </r>
    <phoneticPr fontId="1" type="noConversion"/>
  </si>
  <si>
    <t>S2雾锡</t>
    <phoneticPr fontId="1" type="noConversion"/>
  </si>
  <si>
    <t>40-60</t>
  </si>
  <si>
    <t>41-59</t>
  </si>
  <si>
    <t xml:space="preserve">  AClD</t>
  </si>
  <si>
    <t>80-150</t>
  </si>
  <si>
    <t>90-140</t>
  </si>
  <si>
    <t>锡保护</t>
  </si>
  <si>
    <t>锡保护剂</t>
  </si>
  <si>
    <t>V/V</t>
  </si>
  <si>
    <r>
      <t>5%-1</t>
    </r>
    <r>
      <rPr>
        <sz val="9"/>
        <rFont val="宋体"/>
        <family val="3"/>
        <charset val="134"/>
      </rPr>
      <t>5</t>
    </r>
    <r>
      <rPr>
        <sz val="9"/>
        <rFont val="宋体"/>
        <family val="3"/>
        <charset val="134"/>
      </rPr>
      <t>%</t>
    </r>
  </si>
  <si>
    <r>
      <t>8%-12</t>
    </r>
    <r>
      <rPr>
        <sz val="9"/>
        <rFont val="宋体"/>
        <family val="3"/>
        <charset val="134"/>
      </rPr>
      <t>%</t>
    </r>
  </si>
  <si>
    <t>水封Ⅰ</t>
    <phoneticPr fontId="1" type="noConversion"/>
  </si>
  <si>
    <t>%</t>
  </si>
  <si>
    <t>5%-15%</t>
    <phoneticPr fontId="1" type="noConversion"/>
  </si>
  <si>
    <t>8%-12%</t>
    <phoneticPr fontId="1" type="noConversion"/>
  </si>
  <si>
    <r>
      <t>表单编号：W</t>
    </r>
    <r>
      <rPr>
        <sz val="10"/>
        <rFont val="宋体"/>
        <family val="3"/>
        <charset val="134"/>
      </rPr>
      <t>M</t>
    </r>
    <r>
      <rPr>
        <sz val="10"/>
        <rFont val="宋体"/>
        <family val="3"/>
        <charset val="134"/>
      </rPr>
      <t>-QR-GC-004/A0</t>
    </r>
    <phoneticPr fontId="1" type="noConversion"/>
  </si>
  <si>
    <t>核准：</t>
  </si>
  <si>
    <t>审核：</t>
  </si>
  <si>
    <t>制表:</t>
  </si>
  <si>
    <t>杜晗</t>
    <phoneticPr fontId="1" type="noConversion"/>
  </si>
  <si>
    <t>预镀镍</t>
    <phoneticPr fontId="1" type="noConversion"/>
  </si>
  <si>
    <t>油封</t>
    <phoneticPr fontId="1" type="noConversion"/>
  </si>
  <si>
    <t>40.2</t>
    <phoneticPr fontId="1" type="noConversion"/>
  </si>
  <si>
    <t>超声电解</t>
    <phoneticPr fontId="1" type="noConversion"/>
  </si>
  <si>
    <t>220</t>
    <phoneticPr fontId="1" type="noConversion"/>
  </si>
  <si>
    <t>180</t>
    <phoneticPr fontId="1" type="noConversion"/>
  </si>
  <si>
    <t>250</t>
    <phoneticPr fontId="1" type="noConversion"/>
  </si>
  <si>
    <t>650</t>
    <phoneticPr fontId="1" type="noConversion"/>
  </si>
  <si>
    <t>880</t>
    <phoneticPr fontId="1" type="noConversion"/>
  </si>
  <si>
    <t>300</t>
    <phoneticPr fontId="1" type="noConversion"/>
  </si>
  <si>
    <t>240</t>
    <phoneticPr fontId="1" type="noConversion"/>
  </si>
  <si>
    <t>280</t>
    <phoneticPr fontId="1" type="noConversion"/>
  </si>
  <si>
    <t>550</t>
    <phoneticPr fontId="1" type="noConversion"/>
  </si>
  <si>
    <t>150</t>
    <phoneticPr fontId="1" type="noConversion"/>
  </si>
  <si>
    <t>11.5</t>
    <phoneticPr fontId="1" type="noConversion"/>
  </si>
  <si>
    <t xml:space="preserve">       </t>
    <phoneticPr fontId="1" type="noConversion"/>
  </si>
  <si>
    <t xml:space="preserve">  </t>
    <phoneticPr fontId="1" type="noConversion"/>
  </si>
  <si>
    <t>13.2</t>
    <phoneticPr fontId="1" type="noConversion"/>
  </si>
  <si>
    <t>10.1</t>
    <phoneticPr fontId="1" type="noConversion"/>
  </si>
  <si>
    <t>10.3</t>
    <phoneticPr fontId="1" type="noConversion"/>
  </si>
  <si>
    <t>5</t>
    <phoneticPr fontId="1" type="noConversion"/>
  </si>
  <si>
    <t>40.1</t>
    <phoneticPr fontId="1" type="noConversion"/>
  </si>
  <si>
    <t>4.25</t>
    <phoneticPr fontId="1" type="noConversion"/>
  </si>
  <si>
    <t>2.14</t>
    <phoneticPr fontId="1" type="noConversion"/>
  </si>
  <si>
    <t>11.9</t>
    <phoneticPr fontId="1" type="noConversion"/>
  </si>
  <si>
    <t>11.8</t>
    <phoneticPr fontId="1" type="noConversion"/>
  </si>
  <si>
    <t>91.2</t>
    <phoneticPr fontId="1" type="noConversion"/>
  </si>
  <si>
    <t>11.6</t>
    <phoneticPr fontId="1" type="noConversion"/>
  </si>
  <si>
    <t>4.24</t>
    <phoneticPr fontId="1" type="noConversion"/>
  </si>
  <si>
    <t>1.98</t>
    <phoneticPr fontId="1" type="noConversion"/>
  </si>
  <si>
    <t>1%-3%</t>
    <phoneticPr fontId="1" type="noConversion"/>
  </si>
  <si>
    <t>1.5%-2.8%</t>
    <phoneticPr fontId="1" type="noConversion"/>
  </si>
  <si>
    <t>9.35</t>
    <phoneticPr fontId="1" type="noConversion"/>
  </si>
  <si>
    <t>10.2</t>
    <phoneticPr fontId="1" type="noConversion"/>
  </si>
  <si>
    <t>2.08</t>
    <phoneticPr fontId="1" type="noConversion"/>
  </si>
  <si>
    <t>44.6</t>
    <phoneticPr fontId="1" type="noConversion"/>
  </si>
  <si>
    <t>水封Ⅱ</t>
    <phoneticPr fontId="1" type="noConversion"/>
  </si>
  <si>
    <t>9.4</t>
    <phoneticPr fontId="1" type="noConversion"/>
  </si>
  <si>
    <t>白班</t>
    <phoneticPr fontId="1" type="noConversion"/>
  </si>
  <si>
    <t>4.21</t>
    <phoneticPr fontId="1" type="noConversion"/>
  </si>
  <si>
    <t>2.15</t>
    <phoneticPr fontId="1" type="noConversion"/>
  </si>
  <si>
    <t>88.6</t>
    <phoneticPr fontId="1" type="noConversion"/>
  </si>
  <si>
    <t>39.9</t>
    <phoneticPr fontId="1" type="noConversion"/>
  </si>
  <si>
    <t>86.3</t>
    <phoneticPr fontId="1" type="noConversion"/>
  </si>
  <si>
    <t>11.3</t>
    <phoneticPr fontId="1" type="noConversion"/>
  </si>
  <si>
    <t>4.23</t>
    <phoneticPr fontId="1" type="noConversion"/>
  </si>
  <si>
    <t>87.2</t>
    <phoneticPr fontId="1" type="noConversion"/>
  </si>
  <si>
    <t>17.1</t>
    <phoneticPr fontId="1" type="noConversion"/>
  </si>
  <si>
    <t>44.3</t>
    <phoneticPr fontId="1" type="noConversion"/>
  </si>
  <si>
    <t>11.1</t>
    <phoneticPr fontId="1" type="noConversion"/>
  </si>
  <si>
    <t>2.16</t>
    <phoneticPr fontId="1" type="noConversion"/>
  </si>
  <si>
    <t>10.9</t>
    <phoneticPr fontId="1" type="noConversion"/>
  </si>
  <si>
    <t>2.18</t>
    <phoneticPr fontId="1" type="noConversion"/>
  </si>
  <si>
    <t>9.38</t>
    <phoneticPr fontId="1" type="noConversion"/>
  </si>
  <si>
    <t>38.9</t>
    <phoneticPr fontId="1" type="noConversion"/>
  </si>
  <si>
    <t>4.19</t>
    <phoneticPr fontId="1" type="noConversion"/>
  </si>
  <si>
    <t>38.6</t>
    <phoneticPr fontId="1" type="noConversion"/>
  </si>
  <si>
    <t>9.3</t>
    <phoneticPr fontId="1" type="noConversion"/>
  </si>
  <si>
    <t>0.58</t>
    <phoneticPr fontId="1" type="noConversion"/>
  </si>
  <si>
    <t>10</t>
    <phoneticPr fontId="1" type="noConversion"/>
  </si>
  <si>
    <t>88.9</t>
    <phoneticPr fontId="1" type="noConversion"/>
  </si>
  <si>
    <t>89.6</t>
    <phoneticPr fontId="1" type="noConversion"/>
  </si>
  <si>
    <t>2.21</t>
    <phoneticPr fontId="1" type="noConversion"/>
  </si>
  <si>
    <t>9.85</t>
    <phoneticPr fontId="1" type="noConversion"/>
  </si>
  <si>
    <t>2.43</t>
    <phoneticPr fontId="1" type="noConversion"/>
  </si>
  <si>
    <t>114</t>
    <phoneticPr fontId="1" type="noConversion"/>
  </si>
  <si>
    <t>24.9</t>
    <phoneticPr fontId="1" type="noConversion"/>
  </si>
  <si>
    <t>86.9</t>
    <phoneticPr fontId="1" type="noConversion"/>
  </si>
  <si>
    <t>45.2</t>
    <phoneticPr fontId="1" type="noConversion"/>
  </si>
  <si>
    <t>2.25</t>
    <phoneticPr fontId="1" type="noConversion"/>
  </si>
  <si>
    <t>42.9</t>
    <phoneticPr fontId="1" type="noConversion"/>
  </si>
  <si>
    <t>47.9</t>
    <phoneticPr fontId="1" type="noConversion"/>
  </si>
  <si>
    <t>0.3</t>
    <phoneticPr fontId="1" type="noConversion"/>
  </si>
  <si>
    <t>4.11</t>
    <phoneticPr fontId="1" type="noConversion"/>
  </si>
  <si>
    <t>4.06</t>
    <phoneticPr fontId="1" type="noConversion"/>
  </si>
  <si>
    <t>4.13</t>
    <phoneticPr fontId="1" type="noConversion"/>
  </si>
  <si>
    <t>2.41</t>
    <phoneticPr fontId="1" type="noConversion"/>
  </si>
  <si>
    <t>11</t>
    <phoneticPr fontId="1" type="noConversion"/>
  </si>
  <si>
    <t>7.18</t>
    <phoneticPr fontId="1" type="noConversion"/>
  </si>
  <si>
    <t>17.2</t>
    <phoneticPr fontId="1" type="noConversion"/>
  </si>
  <si>
    <t>4.09</t>
    <phoneticPr fontId="1" type="noConversion"/>
  </si>
  <si>
    <t>13.1</t>
    <phoneticPr fontId="1" type="noConversion"/>
  </si>
  <si>
    <t>25.1</t>
    <phoneticPr fontId="1" type="noConversion"/>
  </si>
  <si>
    <t>43.1</t>
    <phoneticPr fontId="1" type="noConversion"/>
  </si>
  <si>
    <t>0.51</t>
    <phoneticPr fontId="1" type="noConversion"/>
  </si>
  <si>
    <t>88.1</t>
    <phoneticPr fontId="1" type="noConversion"/>
  </si>
  <si>
    <t>39</t>
    <phoneticPr fontId="1" type="noConversion"/>
  </si>
  <si>
    <t>93.3</t>
    <phoneticPr fontId="1" type="noConversion"/>
  </si>
  <si>
    <t>7.21</t>
    <phoneticPr fontId="1" type="noConversion"/>
  </si>
  <si>
    <t>17.28</t>
    <phoneticPr fontId="1" type="noConversion"/>
  </si>
  <si>
    <t>14.1</t>
    <phoneticPr fontId="1" type="noConversion"/>
  </si>
  <si>
    <t>17.25</t>
    <phoneticPr fontId="1" type="noConversion"/>
  </si>
  <si>
    <t>5.98</t>
    <phoneticPr fontId="1" type="noConversion"/>
  </si>
  <si>
    <t>111</t>
    <phoneticPr fontId="1" type="noConversion"/>
  </si>
  <si>
    <t>116.2</t>
    <phoneticPr fontId="1" type="noConversion"/>
  </si>
  <si>
    <t>12.9</t>
    <phoneticPr fontId="1" type="noConversion"/>
  </si>
  <si>
    <t>50.3</t>
    <phoneticPr fontId="1" type="noConversion"/>
  </si>
  <si>
    <t>0.55</t>
    <phoneticPr fontId="1" type="noConversion"/>
  </si>
  <si>
    <t>2.2</t>
    <phoneticPr fontId="1" type="noConversion"/>
  </si>
  <si>
    <t>92.9</t>
    <phoneticPr fontId="1" type="noConversion"/>
  </si>
  <si>
    <t>38.3</t>
    <phoneticPr fontId="1" type="noConversion"/>
  </si>
  <si>
    <t>0.7</t>
    <phoneticPr fontId="1" type="noConversion"/>
  </si>
  <si>
    <t>42.2</t>
    <phoneticPr fontId="1" type="noConversion"/>
  </si>
  <si>
    <t>90.0</t>
    <phoneticPr fontId="1" type="noConversion"/>
  </si>
  <si>
    <t>9.78</t>
    <phoneticPr fontId="1" type="noConversion"/>
  </si>
  <si>
    <t>7.24</t>
    <phoneticPr fontId="1" type="noConversion"/>
  </si>
  <si>
    <t>17.05</t>
    <phoneticPr fontId="1" type="noConversion"/>
  </si>
  <si>
    <t>14</t>
    <phoneticPr fontId="1" type="noConversion"/>
  </si>
  <si>
    <t>16.98</t>
    <phoneticPr fontId="1" type="noConversion"/>
  </si>
  <si>
    <t>5.76</t>
    <phoneticPr fontId="1" type="noConversion"/>
  </si>
  <si>
    <t>47.1</t>
    <phoneticPr fontId="1" type="noConversion"/>
  </si>
  <si>
    <t>108</t>
    <phoneticPr fontId="1" type="noConversion"/>
  </si>
  <si>
    <t>1.88</t>
    <phoneticPr fontId="1" type="noConversion"/>
  </si>
  <si>
    <t>0.57</t>
    <phoneticPr fontId="1" type="noConversion"/>
  </si>
  <si>
    <t>7.26</t>
    <phoneticPr fontId="1" type="noConversion"/>
  </si>
  <si>
    <t>7.23</t>
    <phoneticPr fontId="1" type="noConversion"/>
  </si>
  <si>
    <t>16.84</t>
    <phoneticPr fontId="1" type="noConversion"/>
  </si>
  <si>
    <t>5.54</t>
    <phoneticPr fontId="1" type="noConversion"/>
  </si>
  <si>
    <t>16.95</t>
    <phoneticPr fontId="1" type="noConversion"/>
  </si>
  <si>
    <t>10.15</t>
    <phoneticPr fontId="1" type="noConversion"/>
  </si>
  <si>
    <t>10.8</t>
    <phoneticPr fontId="1" type="noConversion"/>
  </si>
  <si>
    <t>50.1</t>
    <phoneticPr fontId="1" type="noConversion"/>
  </si>
  <si>
    <t>12</t>
    <phoneticPr fontId="1" type="noConversion"/>
  </si>
  <si>
    <t>11.9</t>
    <phoneticPr fontId="1" type="noConversion"/>
  </si>
  <si>
    <t>214.3</t>
    <phoneticPr fontId="1" type="noConversion"/>
  </si>
  <si>
    <t>62</t>
    <phoneticPr fontId="1" type="noConversion"/>
  </si>
  <si>
    <t>100.8</t>
    <phoneticPr fontId="1" type="noConversion"/>
  </si>
  <si>
    <t>92.2</t>
    <phoneticPr fontId="1" type="noConversion"/>
  </si>
  <si>
    <t>10.3</t>
    <phoneticPr fontId="1" type="noConversion"/>
  </si>
  <si>
    <t>39.8</t>
    <phoneticPr fontId="1" type="noConversion"/>
  </si>
  <si>
    <t>4.28</t>
    <phoneticPr fontId="1" type="noConversion"/>
  </si>
  <si>
    <t>8.88</t>
    <phoneticPr fontId="1" type="noConversion"/>
  </si>
  <si>
    <t>49.4</t>
    <phoneticPr fontId="1" type="noConversion"/>
  </si>
  <si>
    <t>93.6</t>
    <phoneticPr fontId="1" type="noConversion"/>
  </si>
  <si>
    <t>1.93</t>
    <phoneticPr fontId="1" type="noConversion"/>
  </si>
  <si>
    <t>8.17</t>
    <phoneticPr fontId="1" type="noConversion"/>
  </si>
  <si>
    <t>2.4</t>
    <phoneticPr fontId="1" type="noConversion"/>
  </si>
  <si>
    <t>10.6</t>
    <phoneticPr fontId="1" type="noConversion"/>
  </si>
  <si>
    <t>4.36</t>
    <phoneticPr fontId="1" type="noConversion"/>
  </si>
  <si>
    <t>0.32</t>
    <phoneticPr fontId="1" type="noConversion"/>
  </si>
  <si>
    <t>2.81</t>
    <phoneticPr fontId="1" type="noConversion"/>
  </si>
  <si>
    <t>4.33</t>
    <phoneticPr fontId="1" type="noConversion"/>
  </si>
  <si>
    <t>0.33</t>
    <phoneticPr fontId="1" type="noConversion"/>
  </si>
  <si>
    <t>18.31</t>
    <phoneticPr fontId="1" type="noConversion"/>
  </si>
  <si>
    <t>12.3</t>
    <phoneticPr fontId="1" type="noConversion"/>
  </si>
  <si>
    <t>17.1</t>
    <phoneticPr fontId="1" type="noConversion"/>
  </si>
  <si>
    <t>7.48</t>
    <phoneticPr fontId="1" type="noConversion"/>
  </si>
  <si>
    <t>18.66</t>
    <phoneticPr fontId="1" type="noConversion"/>
  </si>
  <si>
    <t>13.7</t>
    <phoneticPr fontId="1" type="noConversion"/>
  </si>
  <si>
    <t>17.5</t>
    <phoneticPr fontId="1" type="noConversion"/>
  </si>
  <si>
    <t>7.31</t>
    <phoneticPr fontId="1" type="noConversion"/>
  </si>
  <si>
    <t>8.5</t>
    <phoneticPr fontId="1" type="noConversion"/>
  </si>
  <si>
    <t xml:space="preserve">R2测试数据  </t>
    <phoneticPr fontId="1" type="noConversion"/>
  </si>
  <si>
    <t>普镍随机数</t>
    <phoneticPr fontId="1" type="noConversion"/>
  </si>
  <si>
    <t>镍钨随机数</t>
    <phoneticPr fontId="1" type="noConversion"/>
  </si>
  <si>
    <t>金槽随机数</t>
    <phoneticPr fontId="1" type="noConversion"/>
  </si>
  <si>
    <t>钯槽随机数</t>
    <phoneticPr fontId="1" type="noConversion"/>
  </si>
  <si>
    <t>铂槽随机数</t>
    <phoneticPr fontId="1" type="noConversion"/>
  </si>
  <si>
    <t>水封随机数</t>
    <phoneticPr fontId="1" type="noConversion"/>
  </si>
  <si>
    <t>前处理随机数</t>
    <phoneticPr fontId="1" type="noConversion"/>
  </si>
  <si>
    <t>酸铜随机数</t>
    <phoneticPr fontId="1" type="noConversion"/>
  </si>
  <si>
    <t>11.2</t>
    <phoneticPr fontId="1" type="noConversion"/>
  </si>
  <si>
    <t>11.1</t>
    <phoneticPr fontId="1" type="noConversion"/>
  </si>
  <si>
    <t>11.3</t>
    <phoneticPr fontId="1" type="noConversion"/>
  </si>
  <si>
    <t>30.2</t>
    <phoneticPr fontId="1" type="noConversion"/>
  </si>
  <si>
    <t>13</t>
    <phoneticPr fontId="1" type="noConversion"/>
  </si>
  <si>
    <t>90.8</t>
    <phoneticPr fontId="1" type="noConversion"/>
  </si>
  <si>
    <t>9.5</t>
    <phoneticPr fontId="1" type="noConversion"/>
  </si>
  <si>
    <t>39.1</t>
    <phoneticPr fontId="1" type="noConversion"/>
  </si>
  <si>
    <t>4.28</t>
    <phoneticPr fontId="1" type="noConversion"/>
  </si>
  <si>
    <t>4.29</t>
    <phoneticPr fontId="1" type="noConversion"/>
  </si>
  <si>
    <t>89.1</t>
    <phoneticPr fontId="1" type="noConversion"/>
  </si>
  <si>
    <t>9.8</t>
    <phoneticPr fontId="1" type="noConversion"/>
  </si>
  <si>
    <t>41.2</t>
    <phoneticPr fontId="1" type="noConversion"/>
  </si>
  <si>
    <t>4.36</t>
    <phoneticPr fontId="1" type="noConversion"/>
  </si>
  <si>
    <t>92.6</t>
    <phoneticPr fontId="1" type="noConversion"/>
  </si>
  <si>
    <t>10.1</t>
    <phoneticPr fontId="1" type="noConversion"/>
  </si>
  <si>
    <t>91.2</t>
    <phoneticPr fontId="1" type="noConversion"/>
  </si>
  <si>
    <t>9.1</t>
    <phoneticPr fontId="1" type="noConversion"/>
  </si>
  <si>
    <t>42</t>
    <phoneticPr fontId="1" type="noConversion"/>
  </si>
  <si>
    <t>4.25</t>
    <phoneticPr fontId="1" type="noConversion"/>
  </si>
  <si>
    <t>92.1</t>
    <phoneticPr fontId="1" type="noConversion"/>
  </si>
  <si>
    <t>4.27</t>
    <phoneticPr fontId="1" type="noConversion"/>
  </si>
  <si>
    <t>2.95</t>
    <phoneticPr fontId="1" type="noConversion"/>
  </si>
  <si>
    <t>10.0</t>
    <phoneticPr fontId="1" type="noConversion"/>
  </si>
  <si>
    <t>4.18</t>
    <phoneticPr fontId="1" type="noConversion"/>
  </si>
  <si>
    <t>0.37</t>
    <phoneticPr fontId="1" type="noConversion"/>
  </si>
  <si>
    <t>9.09</t>
    <phoneticPr fontId="1" type="noConversion"/>
  </si>
  <si>
    <t>10</t>
    <phoneticPr fontId="1" type="noConversion"/>
  </si>
  <si>
    <t>4.34</t>
    <phoneticPr fontId="1" type="noConversion"/>
  </si>
  <si>
    <t>0.64</t>
    <phoneticPr fontId="1" type="noConversion"/>
  </si>
  <si>
    <t>55.3</t>
    <phoneticPr fontId="1" type="noConversion"/>
  </si>
  <si>
    <t>121.7</t>
    <phoneticPr fontId="1" type="noConversion"/>
  </si>
  <si>
    <t>10.2</t>
    <phoneticPr fontId="1" type="noConversion"/>
  </si>
  <si>
    <t>9</t>
    <phoneticPr fontId="1" type="noConversion"/>
  </si>
  <si>
    <t>9.2</t>
    <phoneticPr fontId="1" type="noConversion"/>
  </si>
  <si>
    <t xml:space="preserve">U4测试数据  </t>
    <phoneticPr fontId="1" type="noConversion"/>
  </si>
  <si>
    <t>锡槽随机数</t>
    <phoneticPr fontId="1" type="noConversion"/>
  </si>
  <si>
    <t>中和随机数</t>
    <phoneticPr fontId="1" type="noConversion"/>
  </si>
  <si>
    <t>水封随机数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</si>
</sst>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0.0%"/>
    <numFmt numFmtId="177" formatCode="0.0_ "/>
    <numFmt numFmtId="178" formatCode="0.00_ "/>
  </numFmts>
  <fonts count="16"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indexed="8"/>
      <name val="宋体"/>
      <family val="3"/>
      <charset val="134"/>
    </font>
    <font>
      <sz val="9"/>
      <color indexed="8"/>
      <name val="Arial"/>
      <family val="2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name val="Arial"/>
      <family val="2"/>
    </font>
    <font>
      <vertAlign val="subscript"/>
      <sz val="10"/>
      <name val="Times New Roman"/>
      <family val="1"/>
    </font>
    <font>
      <vertAlign val="superscript"/>
      <sz val="10"/>
      <name val="宋体"/>
      <family val="3"/>
      <charset val="134"/>
    </font>
    <font>
      <sz val="12"/>
      <name val="宋体"/>
      <family val="3"/>
      <charset val="134"/>
    </font>
    <font>
      <sz val="9"/>
      <color theme="1"/>
      <name val="宋体"/>
      <family val="3"/>
      <charset val="134"/>
    </font>
    <font>
      <b/>
      <sz val="2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 applyBorder="0"/>
    <xf numFmtId="9" fontId="10" fillId="0" borderId="0" applyFont="0" applyFill="0" applyBorder="0" applyAlignment="0" applyProtection="0">
      <alignment vertical="center"/>
    </xf>
    <xf numFmtId="0" fontId="13" fillId="0" borderId="0" applyBorder="0"/>
  </cellStyleXfs>
  <cellXfs count="122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horizontal="right" vertical="center"/>
    </xf>
    <xf numFmtId="49" fontId="0" fillId="2" borderId="0" xfId="0" applyNumberFormat="1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9" fontId="6" fillId="2" borderId="3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3" xfId="1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9" fontId="1" fillId="2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9" fontId="0" fillId="2" borderId="3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49" fontId="0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0" fillId="2" borderId="3" xfId="0" applyNumberFormat="1" applyFill="1" applyBorder="1" applyAlignment="1">
      <alignment vertical="center"/>
    </xf>
    <xf numFmtId="49" fontId="0" fillId="0" borderId="0" xfId="0" applyNumberFormat="1" applyBorder="1" applyAlignment="1">
      <alignment horizontal="left" vertical="center"/>
    </xf>
    <xf numFmtId="0" fontId="0" fillId="2" borderId="0" xfId="0" applyFill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4" fillId="3" borderId="3" xfId="0" applyNumberFormat="1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49" fontId="14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13</xdr:col>
      <xdr:colOff>104775</xdr:colOff>
      <xdr:row>2</xdr:row>
      <xdr:rowOff>19050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55911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13</xdr:col>
      <xdr:colOff>104775</xdr:colOff>
      <xdr:row>2</xdr:row>
      <xdr:rowOff>19050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55911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2"/>
  <sheetViews>
    <sheetView tabSelected="1" workbookViewId="0">
      <selection activeCell="H37" sqref="H37"/>
    </sheetView>
  </sheetViews>
  <sheetFormatPr defaultColWidth="8" defaultRowHeight="14.85" customHeight="1"/>
  <cols>
    <col min="1" max="1" width="27.375" style="53" customWidth="1"/>
    <col min="2" max="2" width="5.25" style="77" customWidth="1"/>
    <col min="3" max="3" width="5" style="77" customWidth="1"/>
    <col min="4" max="4" width="8.25" style="53" customWidth="1"/>
    <col min="5" max="5" width="8.375" style="53" customWidth="1"/>
    <col min="6" max="6" width="21.625" style="53" customWidth="1"/>
    <col min="7" max="7" width="6.5" style="54" customWidth="1"/>
    <col min="8" max="8" width="5" style="54" customWidth="1"/>
    <col min="9" max="9" width="5.25" style="76" customWidth="1"/>
    <col min="10" max="10" width="5" style="76" customWidth="1"/>
    <col min="11" max="12" width="5.25" style="54" customWidth="1"/>
    <col min="13" max="13" width="5.25" style="52" customWidth="1"/>
    <col min="14" max="14" width="4.5" style="52" customWidth="1"/>
    <col min="15" max="15" width="5.5" style="52" hidden="1" customWidth="1"/>
    <col min="16" max="16" width="1.75" style="53" hidden="1" customWidth="1"/>
    <col min="17" max="17" width="21.875" style="53" customWidth="1"/>
    <col min="18" max="18" width="12.5" style="64" customWidth="1"/>
    <col min="19" max="19" width="11.125" style="65" customWidth="1"/>
    <col min="20" max="20" width="19.125" style="65" customWidth="1"/>
    <col min="21" max="16384" width="8" style="53"/>
  </cols>
  <sheetData>
    <row r="1" spans="1:25" ht="18.75" customHeight="1">
      <c r="A1" s="112" t="s">
        <v>328</v>
      </c>
      <c r="B1" s="44" t="s">
        <v>293</v>
      </c>
      <c r="C1" s="44" t="s">
        <v>293</v>
      </c>
      <c r="D1" s="110">
        <f t="shared" ref="D1:D17" ca="1" si="0">C1-ROUND(RAND(),1)</f>
        <v>10.6</v>
      </c>
      <c r="E1" s="110"/>
      <c r="F1" s="115" t="s">
        <v>291</v>
      </c>
      <c r="G1" s="11"/>
      <c r="H1" s="11"/>
      <c r="I1" s="72"/>
      <c r="J1" s="72"/>
      <c r="K1" s="11"/>
      <c r="L1" s="11"/>
      <c r="M1" s="11"/>
      <c r="N1" s="11"/>
      <c r="O1" s="11"/>
      <c r="Q1" s="78" t="s">
        <v>284</v>
      </c>
      <c r="R1" s="67" t="s">
        <v>252</v>
      </c>
      <c r="S1" s="70">
        <f t="shared" ref="S1:S17" ca="1" si="1">R1-ROUND(RAND(),1)</f>
        <v>10.8</v>
      </c>
      <c r="T1" s="80" t="s">
        <v>291</v>
      </c>
    </row>
    <row r="2" spans="1:25" ht="18.75" customHeight="1">
      <c r="A2" s="113"/>
      <c r="B2" s="44" t="s">
        <v>294</v>
      </c>
      <c r="C2" s="44" t="s">
        <v>294</v>
      </c>
      <c r="D2" s="110">
        <f t="shared" ca="1" si="0"/>
        <v>10.9</v>
      </c>
      <c r="E2" s="110"/>
      <c r="F2" s="116"/>
      <c r="G2" s="11"/>
      <c r="H2" s="11"/>
      <c r="I2" s="72"/>
      <c r="J2" s="72"/>
      <c r="K2" s="11"/>
      <c r="L2" s="11"/>
      <c r="M2" s="11"/>
      <c r="N2" s="11"/>
      <c r="O2" s="11"/>
      <c r="Q2" s="78"/>
      <c r="R2" s="67" t="s">
        <v>253</v>
      </c>
      <c r="S2" s="70">
        <f t="shared" ca="1" si="1"/>
        <v>49.1</v>
      </c>
      <c r="T2" s="81"/>
    </row>
    <row r="3" spans="1:25" ht="18.75" customHeight="1">
      <c r="A3" s="113"/>
      <c r="B3" s="44" t="s">
        <v>295</v>
      </c>
      <c r="C3" s="44" t="s">
        <v>295</v>
      </c>
      <c r="D3" s="110">
        <f t="shared" ca="1" si="0"/>
        <v>10.3</v>
      </c>
      <c r="E3" s="110"/>
      <c r="F3" s="116"/>
      <c r="G3" s="11"/>
      <c r="H3" s="11"/>
      <c r="I3" s="72"/>
      <c r="J3" s="72"/>
      <c r="K3" s="11"/>
      <c r="L3" s="11"/>
      <c r="M3" s="11"/>
      <c r="N3" s="11"/>
      <c r="O3" s="11"/>
      <c r="Q3" s="78"/>
      <c r="R3" s="67" t="s">
        <v>254</v>
      </c>
      <c r="S3" s="70">
        <f t="shared" ca="1" si="1"/>
        <v>11.4</v>
      </c>
      <c r="T3" s="81"/>
      <c r="U3" s="63"/>
      <c r="V3" s="63"/>
      <c r="W3" s="63"/>
      <c r="X3" s="63"/>
      <c r="Y3" s="63"/>
    </row>
    <row r="4" spans="1:25" ht="18.75" customHeight="1">
      <c r="A4" s="113"/>
      <c r="B4" s="44" t="s">
        <v>294</v>
      </c>
      <c r="C4" s="44" t="s">
        <v>294</v>
      </c>
      <c r="D4" s="110">
        <f t="shared" ca="1" si="0"/>
        <v>10.6</v>
      </c>
      <c r="E4" s="110"/>
      <c r="F4" s="116"/>
      <c r="G4" s="11"/>
      <c r="H4" s="11"/>
      <c r="I4" s="11"/>
      <c r="J4" s="11"/>
      <c r="K4" s="11"/>
      <c r="L4" s="11"/>
      <c r="M4" s="11"/>
      <c r="N4" s="11"/>
      <c r="O4" s="11"/>
      <c r="Q4" s="78"/>
      <c r="R4" s="67" t="s">
        <v>254</v>
      </c>
      <c r="S4" s="70">
        <f t="shared" ca="1" si="1"/>
        <v>11</v>
      </c>
      <c r="T4" s="81"/>
      <c r="U4" s="63"/>
      <c r="V4" s="63"/>
      <c r="W4" s="63"/>
      <c r="X4" s="63"/>
      <c r="Y4" s="63"/>
    </row>
    <row r="5" spans="1:25" ht="18.75" customHeight="1">
      <c r="A5" s="113"/>
      <c r="B5" s="44" t="s">
        <v>296</v>
      </c>
      <c r="C5" s="44" t="s">
        <v>296</v>
      </c>
      <c r="D5" s="110">
        <f t="shared" ca="1" si="0"/>
        <v>29.3</v>
      </c>
      <c r="E5" s="110"/>
      <c r="F5" s="116"/>
      <c r="G5" s="11"/>
      <c r="H5" s="11"/>
      <c r="I5" s="11"/>
      <c r="J5" s="11"/>
      <c r="K5" s="11"/>
      <c r="L5" s="11"/>
      <c r="M5" s="11"/>
      <c r="N5" s="11"/>
      <c r="O5" s="11"/>
      <c r="Q5" s="78"/>
      <c r="R5" s="67" t="s">
        <v>255</v>
      </c>
      <c r="S5" s="70">
        <f t="shared" ca="1" si="1"/>
        <v>10.9</v>
      </c>
      <c r="T5" s="81"/>
      <c r="U5" s="63"/>
      <c r="V5" s="63"/>
      <c r="W5" s="63"/>
      <c r="Y5" s="63"/>
    </row>
    <row r="6" spans="1:25" ht="18.75" customHeight="1">
      <c r="A6" s="113"/>
      <c r="B6" s="44" t="s">
        <v>297</v>
      </c>
      <c r="C6" s="44" t="s">
        <v>297</v>
      </c>
      <c r="D6" s="110">
        <f t="shared" ca="1" si="0"/>
        <v>12.1</v>
      </c>
      <c r="E6" s="110"/>
      <c r="F6" s="117"/>
      <c r="G6" s="11"/>
      <c r="H6" s="11"/>
      <c r="I6" s="11"/>
      <c r="J6" s="11"/>
      <c r="K6" s="11"/>
      <c r="L6" s="11"/>
      <c r="M6" s="11"/>
      <c r="N6" s="11"/>
      <c r="O6" s="11"/>
      <c r="Q6" s="78"/>
      <c r="R6" s="67" t="s">
        <v>256</v>
      </c>
      <c r="S6" s="70">
        <f t="shared" ca="1" si="1"/>
        <v>213.4</v>
      </c>
      <c r="T6" s="80" t="s">
        <v>292</v>
      </c>
      <c r="U6" s="63"/>
      <c r="V6" s="66"/>
      <c r="W6" s="63"/>
      <c r="X6" s="63"/>
      <c r="Y6" s="63"/>
    </row>
    <row r="7" spans="1:25" s="11" customFormat="1" ht="18.75" customHeight="1">
      <c r="A7" s="113"/>
      <c r="B7" s="44" t="s">
        <v>298</v>
      </c>
      <c r="C7" s="44" t="s">
        <v>298</v>
      </c>
      <c r="D7" s="110">
        <f t="shared" ca="1" si="0"/>
        <v>90.5</v>
      </c>
      <c r="E7" s="110"/>
      <c r="F7" s="80" t="s">
        <v>285</v>
      </c>
      <c r="Q7" s="78"/>
      <c r="R7" s="67" t="s">
        <v>257</v>
      </c>
      <c r="S7" s="71">
        <f ca="1">R7-ROUND(ABS(RAND()-0.5),1)</f>
        <v>61.7</v>
      </c>
      <c r="T7" s="81"/>
      <c r="U7" s="63"/>
      <c r="V7" s="63"/>
      <c r="W7" s="63"/>
      <c r="X7" s="63"/>
      <c r="Y7" s="63"/>
    </row>
    <row r="8" spans="1:25" s="11" customFormat="1" ht="18.75" customHeight="1">
      <c r="A8" s="113"/>
      <c r="B8" s="44" t="s">
        <v>299</v>
      </c>
      <c r="C8" s="44" t="s">
        <v>299</v>
      </c>
      <c r="D8" s="111">
        <f ca="1">C8-ROUND(ABS(RAND()-0.5),1)</f>
        <v>9.4</v>
      </c>
      <c r="E8" s="111"/>
      <c r="F8" s="81"/>
      <c r="Q8" s="78"/>
      <c r="R8" s="67" t="s">
        <v>258</v>
      </c>
      <c r="S8" s="71">
        <f ca="1">ROUND(R8-ROUND(RAND(),2)/10,1)</f>
        <v>100.8</v>
      </c>
      <c r="T8" s="81"/>
      <c r="U8" s="63"/>
      <c r="V8" s="63"/>
      <c r="W8" s="66"/>
      <c r="X8" s="63"/>
      <c r="Y8" s="63"/>
    </row>
    <row r="9" spans="1:25" s="11" customFormat="1" ht="18.75" customHeight="1">
      <c r="A9" s="113"/>
      <c r="B9" s="44" t="s">
        <v>300</v>
      </c>
      <c r="C9" s="44" t="s">
        <v>300</v>
      </c>
      <c r="D9" s="111">
        <f ca="1">C9-ROUND(ABS(RAND()-0.5),1)</f>
        <v>38.700000000000003</v>
      </c>
      <c r="E9" s="111"/>
      <c r="F9" s="81"/>
      <c r="Q9" s="78"/>
      <c r="R9" s="67" t="s">
        <v>259</v>
      </c>
      <c r="S9" s="70">
        <f t="shared" ca="1" si="1"/>
        <v>91.5</v>
      </c>
      <c r="T9" s="80" t="s">
        <v>285</v>
      </c>
      <c r="U9" s="63"/>
      <c r="V9" s="63"/>
      <c r="W9" s="66"/>
      <c r="X9" s="63"/>
      <c r="Y9" s="63"/>
    </row>
    <row r="10" spans="1:25" s="11" customFormat="1" ht="18.75" customHeight="1">
      <c r="A10" s="113"/>
      <c r="B10" s="75" t="s">
        <v>301</v>
      </c>
      <c r="C10" s="75" t="s">
        <v>301</v>
      </c>
      <c r="D10" s="71">
        <f ca="1">ROUND(C10+ROUND(RAND(),2)/10,2)</f>
        <v>4.34</v>
      </c>
      <c r="E10" s="71">
        <f ca="1">ROUND(D10+ROUND(RAND(),2)/10,2)</f>
        <v>4.41</v>
      </c>
      <c r="F10" s="81"/>
      <c r="Q10" s="78"/>
      <c r="R10" s="67" t="s">
        <v>260</v>
      </c>
      <c r="S10" s="71">
        <f ca="1">R10-ROUND(ABS(RAND()-0.5),1)</f>
        <v>10.200000000000001</v>
      </c>
      <c r="T10" s="81"/>
      <c r="U10" s="63"/>
      <c r="V10" s="63"/>
      <c r="W10" s="63"/>
      <c r="X10" s="63"/>
      <c r="Y10" s="63"/>
    </row>
    <row r="11" spans="1:25" s="11" customFormat="1" ht="18.75" customHeight="1">
      <c r="A11" s="113"/>
      <c r="B11" s="44" t="s">
        <v>303</v>
      </c>
      <c r="C11" s="44" t="s">
        <v>303</v>
      </c>
      <c r="D11" s="110">
        <f t="shared" ref="D11:D14" ca="1" si="2">C11-ROUND(RAND(),1)</f>
        <v>88.3</v>
      </c>
      <c r="E11" s="110"/>
      <c r="F11" s="80" t="s">
        <v>285</v>
      </c>
      <c r="P11" s="10"/>
      <c r="Q11" s="78"/>
      <c r="R11" s="67" t="s">
        <v>261</v>
      </c>
      <c r="S11" s="71">
        <f ca="1">R11-ROUND(ABS(RAND()-0.5),1)</f>
        <v>39.599999999999994</v>
      </c>
      <c r="T11" s="81"/>
      <c r="U11" s="63"/>
      <c r="V11" s="63"/>
      <c r="W11" s="63"/>
      <c r="X11" s="63"/>
      <c r="Y11" s="63"/>
    </row>
    <row r="12" spans="1:25" s="11" customFormat="1" ht="18.75" customHeight="1">
      <c r="A12" s="113"/>
      <c r="B12" s="44" t="s">
        <v>304</v>
      </c>
      <c r="C12" s="44" t="s">
        <v>304</v>
      </c>
      <c r="D12" s="111">
        <f ca="1">C12-ROUND(ABS(RAND()-0.5),1)</f>
        <v>9.8000000000000007</v>
      </c>
      <c r="E12" s="111"/>
      <c r="F12" s="81"/>
      <c r="Q12" s="78"/>
      <c r="R12" s="67" t="s">
        <v>262</v>
      </c>
      <c r="S12" s="71">
        <f ca="1">ROUND(R12+ROUND(RAND(),2)/10,1)</f>
        <v>4.3</v>
      </c>
      <c r="T12" s="81"/>
      <c r="U12" s="63"/>
      <c r="V12" s="63"/>
      <c r="W12" s="63"/>
      <c r="X12" s="63"/>
      <c r="Y12" s="63"/>
    </row>
    <row r="13" spans="1:25" s="11" customFormat="1" ht="18.75" customHeight="1">
      <c r="A13" s="113"/>
      <c r="B13" s="44" t="s">
        <v>305</v>
      </c>
      <c r="C13" s="44" t="s">
        <v>305</v>
      </c>
      <c r="D13" s="111">
        <f ca="1">C13-ROUND(ABS(RAND()-0.5),1)</f>
        <v>40.900000000000006</v>
      </c>
      <c r="E13" s="111"/>
      <c r="F13" s="81"/>
      <c r="Q13" s="78"/>
      <c r="R13" s="67" t="s">
        <v>263</v>
      </c>
      <c r="S13" s="71">
        <f ca="1">R13-ROUND(ABS(RAND()-0.5),1)</f>
        <v>8.3800000000000008</v>
      </c>
      <c r="T13" s="80" t="s">
        <v>286</v>
      </c>
      <c r="U13" s="63"/>
      <c r="V13" s="63"/>
      <c r="W13" s="63"/>
      <c r="X13" s="63"/>
      <c r="Y13" s="63"/>
    </row>
    <row r="14" spans="1:25" s="11" customFormat="1" ht="18.75" customHeight="1">
      <c r="A14" s="113"/>
      <c r="B14" s="75" t="s">
        <v>306</v>
      </c>
      <c r="C14" s="75" t="s">
        <v>306</v>
      </c>
      <c r="D14" s="71">
        <f ca="1">ROUND(C14+ROUND(RAND(),2)/10,2)</f>
        <v>4.42</v>
      </c>
      <c r="E14" s="71">
        <f ca="1">ROUND(D14+ROUND(RAND(),2)/10,2)</f>
        <v>4.4800000000000004</v>
      </c>
      <c r="F14" s="81"/>
      <c r="Q14" s="78"/>
      <c r="R14" s="67" t="s">
        <v>264</v>
      </c>
      <c r="S14" s="71">
        <f ca="1">R14-ROUND(ABS(RAND()-0.5),1)</f>
        <v>49</v>
      </c>
      <c r="T14" s="81"/>
      <c r="U14" s="63"/>
      <c r="V14" s="63"/>
      <c r="W14" s="63"/>
      <c r="X14" s="63"/>
      <c r="Y14" s="63"/>
    </row>
    <row r="15" spans="1:25" s="11" customFormat="1" ht="18.75" customHeight="1">
      <c r="A15" s="113"/>
      <c r="B15" s="44" t="s">
        <v>307</v>
      </c>
      <c r="C15" s="44" t="s">
        <v>307</v>
      </c>
      <c r="D15" s="110">
        <f t="shared" ref="D15:D18" ca="1" si="3">C15-ROUND(RAND(),1)</f>
        <v>92.199999999999989</v>
      </c>
      <c r="E15" s="110"/>
      <c r="F15" s="80" t="s">
        <v>285</v>
      </c>
      <c r="Q15" s="78"/>
      <c r="R15" s="67" t="s">
        <v>265</v>
      </c>
      <c r="S15" s="71">
        <f ca="1">R15-ROUND(ABS(RAND()-0.5),1)</f>
        <v>93.199999999999989</v>
      </c>
      <c r="T15" s="81"/>
      <c r="U15" s="63"/>
      <c r="V15" s="63"/>
      <c r="W15" s="63"/>
      <c r="X15" s="63"/>
      <c r="Y15" s="63"/>
    </row>
    <row r="16" spans="1:25" s="11" customFormat="1" ht="18.75" customHeight="1">
      <c r="A16" s="113"/>
      <c r="B16" s="44" t="s">
        <v>308</v>
      </c>
      <c r="C16" s="44" t="s">
        <v>308</v>
      </c>
      <c r="D16" s="111">
        <f ca="1">C16-ROUND(ABS(RAND()-0.5),1)</f>
        <v>10</v>
      </c>
      <c r="E16" s="111"/>
      <c r="F16" s="81"/>
      <c r="Q16" s="78"/>
      <c r="R16" s="67" t="s">
        <v>266</v>
      </c>
      <c r="S16" s="71">
        <f ca="1">ROUND(R16-ROUND(RAND(),2)/10,1)</f>
        <v>1.8</v>
      </c>
      <c r="T16" s="81"/>
    </row>
    <row r="17" spans="1:20" s="11" customFormat="1" ht="18.75" customHeight="1">
      <c r="A17" s="113"/>
      <c r="B17" s="44" t="s">
        <v>305</v>
      </c>
      <c r="C17" s="44" t="s">
        <v>305</v>
      </c>
      <c r="D17" s="111">
        <f ca="1">C17-ROUND(ABS(RAND()-0.5),1)</f>
        <v>41.2</v>
      </c>
      <c r="E17" s="111"/>
      <c r="F17" s="81"/>
      <c r="Q17" s="78"/>
      <c r="R17" s="67" t="s">
        <v>267</v>
      </c>
      <c r="S17" s="70">
        <f t="shared" ca="1" si="1"/>
        <v>8.17</v>
      </c>
      <c r="T17" s="81"/>
    </row>
    <row r="18" spans="1:20" s="11" customFormat="1" ht="18.75" customHeight="1">
      <c r="A18" s="113"/>
      <c r="B18" s="75" t="s">
        <v>302</v>
      </c>
      <c r="C18" s="75" t="s">
        <v>302</v>
      </c>
      <c r="D18" s="71">
        <f ca="1">ROUND(C18+ROUND(RAND(),2)/10,2)</f>
        <v>4.3899999999999997</v>
      </c>
      <c r="E18" s="71">
        <f ca="1">ROUND(D18+ROUND(RAND(),2)/10,2)</f>
        <v>4.49</v>
      </c>
      <c r="F18" s="81"/>
      <c r="Q18" s="78"/>
      <c r="R18" s="68" t="s">
        <v>268</v>
      </c>
      <c r="S18" s="71">
        <f ca="1">ROUND(R18-ROUND(RAND(),2)/10,1)</f>
        <v>2.2999999999999998</v>
      </c>
      <c r="T18" s="82" t="s">
        <v>287</v>
      </c>
    </row>
    <row r="19" spans="1:20" s="11" customFormat="1" ht="18.75" customHeight="1">
      <c r="A19" s="113"/>
      <c r="B19" s="44" t="s">
        <v>309</v>
      </c>
      <c r="C19" s="44" t="s">
        <v>309</v>
      </c>
      <c r="D19" s="110">
        <f t="shared" ref="D19:D22" ca="1" si="4">C19-ROUND(RAND(),1)</f>
        <v>90.600000000000009</v>
      </c>
      <c r="E19" s="110"/>
      <c r="F19" s="80" t="s">
        <v>285</v>
      </c>
      <c r="Q19" s="78"/>
      <c r="R19" s="68" t="s">
        <v>269</v>
      </c>
      <c r="S19" s="71">
        <f ca="1">R19-ROUND(ABS(RAND()-0.5),1)</f>
        <v>10.299999999999999</v>
      </c>
      <c r="T19" s="83"/>
    </row>
    <row r="20" spans="1:20" s="11" customFormat="1" ht="18.75" customHeight="1">
      <c r="A20" s="113"/>
      <c r="B20" s="44" t="s">
        <v>310</v>
      </c>
      <c r="C20" s="44" t="s">
        <v>310</v>
      </c>
      <c r="D20" s="111">
        <f ca="1">C20-ROUND(ABS(RAND()-0.5),1)</f>
        <v>8.6999999999999993</v>
      </c>
      <c r="E20" s="111"/>
      <c r="F20" s="81"/>
      <c r="Q20" s="78"/>
      <c r="R20" s="68" t="s">
        <v>270</v>
      </c>
      <c r="S20" s="71">
        <f ca="1">ROUND(R20-ROUND(RAND(),2)/10,1)</f>
        <v>4.3</v>
      </c>
      <c r="T20" s="83"/>
    </row>
    <row r="21" spans="1:20" s="11" customFormat="1" ht="18.75" customHeight="1">
      <c r="A21" s="113"/>
      <c r="B21" s="44" t="s">
        <v>311</v>
      </c>
      <c r="C21" s="44" t="s">
        <v>311</v>
      </c>
      <c r="D21" s="111">
        <f ca="1">C21-ROUND(ABS(RAND()-0.5),1)</f>
        <v>41.6</v>
      </c>
      <c r="E21" s="111"/>
      <c r="F21" s="81"/>
      <c r="Q21" s="78"/>
      <c r="R21" s="68" t="s">
        <v>271</v>
      </c>
      <c r="S21" s="71" t="str">
        <f>R21</f>
        <v>0.32</v>
      </c>
      <c r="T21" s="83"/>
    </row>
    <row r="22" spans="1:20" s="11" customFormat="1" ht="18.75" customHeight="1">
      <c r="A22" s="113"/>
      <c r="B22" s="75" t="s">
        <v>312</v>
      </c>
      <c r="C22" s="75" t="s">
        <v>312</v>
      </c>
      <c r="D22" s="71">
        <f ca="1">ROUND(C22+ROUND(RAND(),2)/10,2)</f>
        <v>4.29</v>
      </c>
      <c r="E22" s="71">
        <f ca="1">ROUND(D22+ROUND(RAND(),2)/10,2)</f>
        <v>4.3499999999999996</v>
      </c>
      <c r="F22" s="81"/>
      <c r="Q22" s="78"/>
      <c r="R22" s="68" t="s">
        <v>272</v>
      </c>
      <c r="S22" s="71">
        <f ca="1">ROUND(R22-ROUND(RAND(),2)/10,1)</f>
        <v>2.8</v>
      </c>
      <c r="T22" s="118" t="s">
        <v>287</v>
      </c>
    </row>
    <row r="23" spans="1:20" s="11" customFormat="1" ht="18.75" customHeight="1">
      <c r="A23" s="113"/>
      <c r="B23" s="44" t="s">
        <v>313</v>
      </c>
      <c r="C23" s="44" t="s">
        <v>313</v>
      </c>
      <c r="D23" s="110">
        <f t="shared" ref="D23:D26" ca="1" si="5">C23-ROUND(RAND(),1)</f>
        <v>91.6</v>
      </c>
      <c r="E23" s="110"/>
      <c r="F23" s="80" t="s">
        <v>285</v>
      </c>
      <c r="Q23" s="78"/>
      <c r="R23" s="68" t="s">
        <v>150</v>
      </c>
      <c r="S23" s="71">
        <f ca="1">R23-ROUND(ABS(RAND()-0.5),1)</f>
        <v>9.7999999999999989</v>
      </c>
      <c r="T23" s="119"/>
    </row>
    <row r="24" spans="1:20" s="11" customFormat="1" ht="18.75" customHeight="1">
      <c r="A24" s="113"/>
      <c r="B24" s="44" t="s">
        <v>310</v>
      </c>
      <c r="C24" s="44" t="s">
        <v>310</v>
      </c>
      <c r="D24" s="111">
        <f ca="1">C24-ROUND(ABS(RAND()-0.5),1)</f>
        <v>9</v>
      </c>
      <c r="E24" s="111"/>
      <c r="F24" s="81"/>
      <c r="Q24" s="78"/>
      <c r="R24" s="68" t="s">
        <v>273</v>
      </c>
      <c r="S24" s="71">
        <f ca="1">ROUND(R24-ROUND(RAND(),2)/10,1)</f>
        <v>4.3</v>
      </c>
      <c r="T24" s="119"/>
    </row>
    <row r="25" spans="1:20" s="11" customFormat="1" ht="18.75" customHeight="1">
      <c r="A25" s="113"/>
      <c r="B25" s="44" t="s">
        <v>311</v>
      </c>
      <c r="C25" s="44" t="s">
        <v>311</v>
      </c>
      <c r="D25" s="111">
        <f ca="1">C25-ROUND(ABS(RAND()-0.5),1)</f>
        <v>41.9</v>
      </c>
      <c r="E25" s="111"/>
      <c r="F25" s="81"/>
      <c r="Q25" s="78"/>
      <c r="R25" s="68" t="s">
        <v>274</v>
      </c>
      <c r="S25" s="71" t="str">
        <f>R25</f>
        <v>0.33</v>
      </c>
      <c r="T25" s="120"/>
    </row>
    <row r="26" spans="1:20" s="11" customFormat="1" ht="18.75" customHeight="1">
      <c r="A26" s="113"/>
      <c r="B26" s="75" t="s">
        <v>314</v>
      </c>
      <c r="C26" s="75" t="s">
        <v>314</v>
      </c>
      <c r="D26" s="71">
        <f ca="1">ROUND(C26+ROUND(RAND(),2)/10,2)</f>
        <v>4.28</v>
      </c>
      <c r="E26" s="71">
        <f ca="1">ROUND(D26+ROUND(RAND(),2)/10,2)</f>
        <v>4.3</v>
      </c>
      <c r="F26" s="81"/>
      <c r="Q26" s="78"/>
      <c r="R26" s="67" t="s">
        <v>275</v>
      </c>
      <c r="S26" s="71">
        <f ca="1">R26-ROUND(ABS(RAND()-0.5),1)</f>
        <v>17.809999999999999</v>
      </c>
      <c r="T26" s="82" t="s">
        <v>288</v>
      </c>
    </row>
    <row r="27" spans="1:20" s="11" customFormat="1" ht="18.75" customHeight="1">
      <c r="A27" s="113"/>
      <c r="B27" s="75" t="s">
        <v>315</v>
      </c>
      <c r="C27" s="75" t="s">
        <v>315</v>
      </c>
      <c r="D27" s="71">
        <f ca="1">ROUND(C27-ROUND(RAND(),2)/10,2)</f>
        <v>2.92</v>
      </c>
      <c r="E27" s="71">
        <f ca="1">ROUND(D27-ROUND(RAND(),2)/10,2)</f>
        <v>2.83</v>
      </c>
      <c r="F27" s="118" t="s">
        <v>287</v>
      </c>
      <c r="Q27" s="78"/>
      <c r="R27" s="67" t="s">
        <v>276</v>
      </c>
      <c r="S27" s="71">
        <f ca="1">ROUND(R27-ROUND(RAND(),2)/10,1)</f>
        <v>12.2</v>
      </c>
      <c r="T27" s="83"/>
    </row>
    <row r="28" spans="1:20" s="11" customFormat="1" ht="18.75" customHeight="1">
      <c r="A28" s="113"/>
      <c r="B28" s="44" t="s">
        <v>316</v>
      </c>
      <c r="C28" s="44" t="s">
        <v>316</v>
      </c>
      <c r="D28" s="111">
        <f ca="1">C28-ROUND(ABS(RAND()-0.5),2)</f>
        <v>9.81</v>
      </c>
      <c r="E28" s="111"/>
      <c r="F28" s="119"/>
      <c r="Q28" s="78"/>
      <c r="R28" s="67" t="s">
        <v>277</v>
      </c>
      <c r="S28" s="71">
        <f ca="1">R28-ROUND(ABS(RAND()-0.5),1)</f>
        <v>16.700000000000003</v>
      </c>
      <c r="T28" s="83"/>
    </row>
    <row r="29" spans="1:20" s="11" customFormat="1" ht="18.75" customHeight="1">
      <c r="A29" s="113"/>
      <c r="B29" s="44" t="s">
        <v>317</v>
      </c>
      <c r="C29" s="44" t="s">
        <v>317</v>
      </c>
      <c r="D29" s="111">
        <f ca="1">ROUND(C29+ROUND(RAND(),2)/10,2)</f>
        <v>4.21</v>
      </c>
      <c r="E29" s="111"/>
      <c r="F29" s="119"/>
      <c r="Q29" s="78"/>
      <c r="R29" s="67" t="s">
        <v>278</v>
      </c>
      <c r="S29" s="71">
        <f ca="1">ROUND(R29-ROUND(RAND(),2)/10,1)</f>
        <v>7.4</v>
      </c>
      <c r="T29" s="83"/>
    </row>
    <row r="30" spans="1:20" s="11" customFormat="1" ht="18.75" customHeight="1">
      <c r="A30" s="113"/>
      <c r="B30" s="44" t="s">
        <v>318</v>
      </c>
      <c r="C30" s="44" t="s">
        <v>318</v>
      </c>
      <c r="D30" s="111" t="str">
        <f>C30</f>
        <v>0.37</v>
      </c>
      <c r="E30" s="111"/>
      <c r="F30" s="120"/>
      <c r="Q30" s="78"/>
      <c r="R30" s="67" t="s">
        <v>279</v>
      </c>
      <c r="S30" s="71">
        <f ca="1">R30-ROUND(ABS(RAND()-0.5),1)</f>
        <v>18.66</v>
      </c>
      <c r="T30" s="82" t="s">
        <v>288</v>
      </c>
    </row>
    <row r="31" spans="1:20" s="11" customFormat="1" ht="18.75" customHeight="1">
      <c r="A31" s="113"/>
      <c r="B31" s="109" t="s">
        <v>319</v>
      </c>
      <c r="C31" s="109" t="s">
        <v>319</v>
      </c>
      <c r="D31" s="71">
        <f ca="1">ROUND(C31-ROUND(RAND(),2)/10,2)</f>
        <v>9.02</v>
      </c>
      <c r="E31" s="71">
        <f ca="1">ROUND(D31-ROUND(RAND(),2)/10,2)</f>
        <v>8.93</v>
      </c>
      <c r="F31" s="118" t="s">
        <v>287</v>
      </c>
      <c r="Q31" s="78"/>
      <c r="R31" s="67" t="s">
        <v>280</v>
      </c>
      <c r="S31" s="71">
        <f ca="1">ROUND(R31-ROUND(RAND(),2)/10,1)</f>
        <v>13.6</v>
      </c>
      <c r="T31" s="83"/>
    </row>
    <row r="32" spans="1:20" s="11" customFormat="1" ht="18.75" customHeight="1">
      <c r="A32" s="113"/>
      <c r="B32" s="44" t="s">
        <v>320</v>
      </c>
      <c r="C32" s="44" t="s">
        <v>320</v>
      </c>
      <c r="D32" s="111">
        <f ca="1">C32-ROUND(ABS(RAND()-0.5),2)</f>
        <v>9.7200000000000006</v>
      </c>
      <c r="E32" s="111"/>
      <c r="F32" s="119"/>
      <c r="Q32" s="78"/>
      <c r="R32" s="67" t="s">
        <v>281</v>
      </c>
      <c r="S32" s="71">
        <f ca="1">R32-ROUND(ABS(RAND()-0.5),1)</f>
        <v>17</v>
      </c>
      <c r="T32" s="83"/>
    </row>
    <row r="33" spans="1:20" ht="18.75" customHeight="1">
      <c r="A33" s="113"/>
      <c r="B33" s="44" t="s">
        <v>321</v>
      </c>
      <c r="C33" s="44" t="s">
        <v>321</v>
      </c>
      <c r="D33" s="111">
        <f ca="1">ROUND(C33+ROUND(RAND(),2)/10,2)</f>
        <v>4.37</v>
      </c>
      <c r="E33" s="111"/>
      <c r="F33" s="119"/>
      <c r="G33" s="11"/>
      <c r="H33" s="11"/>
      <c r="I33" s="11"/>
      <c r="J33" s="11"/>
      <c r="K33" s="11"/>
      <c r="L33" s="11"/>
      <c r="M33" s="11"/>
      <c r="N33" s="11"/>
      <c r="O33" s="11"/>
      <c r="Q33" s="78"/>
      <c r="R33" s="67" t="s">
        <v>282</v>
      </c>
      <c r="S33" s="71">
        <f ca="1">ROUND(R33-ROUND(RAND(),2)/10,1)</f>
        <v>7.2</v>
      </c>
      <c r="T33" s="83"/>
    </row>
    <row r="34" spans="1:20" ht="18.75" customHeight="1">
      <c r="A34" s="113"/>
      <c r="B34" s="44" t="s">
        <v>322</v>
      </c>
      <c r="C34" s="44" t="s">
        <v>322</v>
      </c>
      <c r="D34" s="111" t="str">
        <f>C34</f>
        <v>0.64</v>
      </c>
      <c r="E34" s="111"/>
      <c r="F34" s="120"/>
      <c r="G34" s="11"/>
      <c r="H34" s="11"/>
      <c r="I34" s="11"/>
      <c r="J34" s="11"/>
      <c r="K34" s="11"/>
      <c r="L34" s="11"/>
      <c r="M34" s="11"/>
      <c r="N34" s="11"/>
      <c r="O34" s="11"/>
      <c r="Q34" s="78"/>
      <c r="R34" s="69">
        <v>9.57</v>
      </c>
      <c r="S34" s="71">
        <f ca="1">ROUND(R34-ROUND(RAND(),2)/10,1)</f>
        <v>9.5</v>
      </c>
      <c r="T34" s="82" t="s">
        <v>289</v>
      </c>
    </row>
    <row r="35" spans="1:20" ht="18.75" customHeight="1">
      <c r="A35" s="113"/>
      <c r="B35" s="44" t="s">
        <v>323</v>
      </c>
      <c r="C35" s="44" t="s">
        <v>323</v>
      </c>
      <c r="D35" s="111">
        <f ca="1">C35-ROUND(ABS(RAND()-0.5),1)</f>
        <v>55</v>
      </c>
      <c r="E35" s="111"/>
      <c r="F35" s="118" t="s">
        <v>329</v>
      </c>
      <c r="G35" s="11"/>
      <c r="H35" s="11"/>
      <c r="I35" s="11"/>
      <c r="J35" s="11"/>
      <c r="K35" s="11"/>
      <c r="L35" s="11"/>
      <c r="M35" s="11"/>
      <c r="N35" s="11"/>
      <c r="O35" s="11"/>
      <c r="Q35" s="78"/>
      <c r="R35" s="69">
        <v>52.3</v>
      </c>
      <c r="S35" s="71">
        <f ca="1">R35-ROUND(ABS(RAND()-0.5),1)</f>
        <v>52</v>
      </c>
      <c r="T35" s="83"/>
    </row>
    <row r="36" spans="1:20" s="11" customFormat="1" ht="18.75" customHeight="1">
      <c r="A36" s="113"/>
      <c r="B36" s="44" t="s">
        <v>324</v>
      </c>
      <c r="C36" s="44" t="s">
        <v>324</v>
      </c>
      <c r="D36" s="111">
        <f ca="1">ROUND(C36-ROUND(RAND(),2),1)</f>
        <v>121.6</v>
      </c>
      <c r="E36" s="111"/>
      <c r="F36" s="121"/>
      <c r="Q36" s="78"/>
      <c r="R36" s="69">
        <v>13</v>
      </c>
      <c r="S36" s="71">
        <f ca="1">ROUND(R36-ROUND(RAND(),2)/10,1)</f>
        <v>12.9</v>
      </c>
      <c r="T36" s="83"/>
    </row>
    <row r="37" spans="1:20" ht="18.75" customHeight="1">
      <c r="A37" s="113"/>
      <c r="B37" s="44" t="s">
        <v>325</v>
      </c>
      <c r="C37" s="44" t="s">
        <v>325</v>
      </c>
      <c r="D37" s="111">
        <f ca="1">ROUND(C37-ROUND(RAND(),2)/10,2)</f>
        <v>10.19</v>
      </c>
      <c r="E37" s="111"/>
      <c r="F37" s="74" t="s">
        <v>330</v>
      </c>
      <c r="G37" s="11"/>
      <c r="H37" s="11"/>
      <c r="I37" s="11"/>
      <c r="J37" s="11"/>
      <c r="K37" s="11"/>
      <c r="L37" s="11"/>
      <c r="M37" s="11"/>
      <c r="N37" s="11"/>
      <c r="O37" s="11"/>
      <c r="Q37" s="78"/>
      <c r="R37" s="69">
        <v>0.5</v>
      </c>
      <c r="S37" s="71">
        <f ca="1">ROUND(R37-ROUND(RAND(),2)/10,1)</f>
        <v>0.4</v>
      </c>
      <c r="T37" s="83"/>
    </row>
    <row r="38" spans="1:20" ht="18.75" customHeight="1">
      <c r="A38" s="113"/>
      <c r="B38" s="44" t="s">
        <v>326</v>
      </c>
      <c r="C38" s="44" t="s">
        <v>326</v>
      </c>
      <c r="D38" s="111">
        <f ca="1">ROUND(C38-ROUND(RAND(),2)/10,2)</f>
        <v>8.9700000000000006</v>
      </c>
      <c r="E38" s="111"/>
      <c r="F38" s="118" t="s">
        <v>331</v>
      </c>
      <c r="G38" s="11"/>
      <c r="H38" s="11"/>
      <c r="I38" s="11"/>
      <c r="J38" s="11"/>
      <c r="K38" s="11"/>
      <c r="L38" s="11"/>
      <c r="M38" s="11"/>
      <c r="N38" s="11"/>
      <c r="O38" s="11"/>
      <c r="Q38" s="78"/>
      <c r="R38" s="69">
        <v>9.32</v>
      </c>
      <c r="S38" s="71">
        <f ca="1">ROUND(R38-ROUND(RAND(),2)/10,1)</f>
        <v>9.3000000000000007</v>
      </c>
      <c r="T38" s="82" t="s">
        <v>289</v>
      </c>
    </row>
    <row r="39" spans="1:20" ht="18.75" customHeight="1">
      <c r="A39" s="114"/>
      <c r="B39" s="44" t="s">
        <v>327</v>
      </c>
      <c r="C39" s="44" t="s">
        <v>327</v>
      </c>
      <c r="D39" s="111">
        <f ca="1">ROUND(C39-ROUND(RAND(),2)/10,2)</f>
        <v>9.14</v>
      </c>
      <c r="E39" s="111"/>
      <c r="F39" s="121"/>
      <c r="G39" s="11"/>
      <c r="H39" s="11"/>
      <c r="I39" s="11"/>
      <c r="J39" s="11"/>
      <c r="K39" s="11"/>
      <c r="L39" s="11"/>
      <c r="M39" s="11"/>
      <c r="N39" s="11"/>
      <c r="O39" s="11"/>
      <c r="Q39" s="78"/>
      <c r="R39" s="69">
        <v>50.7</v>
      </c>
      <c r="S39" s="71">
        <f ca="1">R39-ROUND(ABS(RAND()-0.5),1)</f>
        <v>50.7</v>
      </c>
      <c r="T39" s="83"/>
    </row>
    <row r="40" spans="1:20" s="11" customFormat="1" ht="13.5" customHeight="1">
      <c r="Q40" s="78"/>
      <c r="R40" s="69">
        <v>13.3</v>
      </c>
      <c r="S40" s="71">
        <f ca="1">ROUND(R40-ROUND(RAND(),2)/10,1)</f>
        <v>13.2</v>
      </c>
      <c r="T40" s="83"/>
    </row>
    <row r="41" spans="1:20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Q41" s="78"/>
      <c r="R41" s="69">
        <v>0.41</v>
      </c>
      <c r="S41" s="71">
        <f ca="1">ROUND(R41-ROUND(RAND(),2)/10,1)</f>
        <v>0.4</v>
      </c>
      <c r="T41" s="83"/>
    </row>
    <row r="42" spans="1:20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Q42" s="78"/>
      <c r="R42" s="69">
        <v>8.98</v>
      </c>
      <c r="S42" s="71">
        <f ca="1">ROUND(R42-ROUND(RAND(),2)/10,1)</f>
        <v>8.9</v>
      </c>
      <c r="T42" s="82" t="s">
        <v>289</v>
      </c>
    </row>
    <row r="43" spans="1:20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Q43" s="78"/>
      <c r="R43" s="69">
        <v>43.2</v>
      </c>
      <c r="S43" s="71">
        <f ca="1">R43-ROUND(ABS(RAND()-0.5),1)</f>
        <v>42.800000000000004</v>
      </c>
      <c r="T43" s="83"/>
    </row>
    <row r="44" spans="1:20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Q44" s="78"/>
      <c r="R44" s="69">
        <v>12.4</v>
      </c>
      <c r="S44" s="71">
        <f ca="1">ROUND(R44-ROUND(RAND(),2)/10,1)</f>
        <v>12.4</v>
      </c>
      <c r="T44" s="83"/>
    </row>
    <row r="45" spans="1:20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Q45" s="78"/>
      <c r="R45" s="69">
        <v>0.49</v>
      </c>
      <c r="S45" s="71">
        <f ca="1">ROUND(R45-ROUND(RAND(),2)/10,1)</f>
        <v>0.4</v>
      </c>
      <c r="T45" s="83"/>
    </row>
    <row r="46" spans="1:20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Q46" s="78"/>
      <c r="R46" s="69">
        <v>8.99</v>
      </c>
      <c r="S46" s="71">
        <f ca="1">ROUND(R46-ROUND(RAND(),2)/10,1)</f>
        <v>9</v>
      </c>
      <c r="T46" s="82" t="s">
        <v>289</v>
      </c>
    </row>
    <row r="47" spans="1:20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Q47" s="78"/>
      <c r="R47" s="69">
        <v>43.4</v>
      </c>
      <c r="S47" s="71">
        <f ca="1">R47-ROUND(ABS(RAND()-0.5),1)</f>
        <v>43.4</v>
      </c>
      <c r="T47" s="83"/>
    </row>
    <row r="48" spans="1:20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Q48" s="78"/>
      <c r="R48" s="69">
        <v>12.8</v>
      </c>
      <c r="S48" s="71">
        <f ca="1">ROUND(R48-ROUND(RAND(),2)/10,1)</f>
        <v>12.8</v>
      </c>
      <c r="T48" s="83"/>
    </row>
    <row r="49" spans="1:20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Q49" s="78"/>
      <c r="R49" s="69">
        <v>0.48</v>
      </c>
      <c r="S49" s="71">
        <f ca="1">ROUND(R49-ROUND(RAND(),2)/10,1)</f>
        <v>0.5</v>
      </c>
      <c r="T49" s="83"/>
    </row>
    <row r="50" spans="1:20" ht="13.5" customHeight="1">
      <c r="A50" s="11"/>
      <c r="B50" s="11"/>
      <c r="C50" s="11"/>
      <c r="D50" s="11"/>
      <c r="E50" s="11"/>
      <c r="F50" s="11"/>
      <c r="G50" s="11"/>
      <c r="H50" s="11"/>
      <c r="K50" s="11"/>
      <c r="L50" s="11"/>
      <c r="M50" s="11"/>
      <c r="N50" s="11"/>
      <c r="O50" s="11"/>
      <c r="Q50" s="78"/>
      <c r="R50" s="67" t="s">
        <v>283</v>
      </c>
      <c r="S50" s="71">
        <f ca="1">ROUND(R50-ROUND(RAND(),2)/10,1)</f>
        <v>8.5</v>
      </c>
      <c r="T50" s="73" t="s">
        <v>290</v>
      </c>
    </row>
    <row r="51" spans="1:20" ht="13.5" customHeight="1">
      <c r="A51" s="11"/>
      <c r="B51" s="11"/>
      <c r="C51" s="11"/>
      <c r="D51" s="11"/>
      <c r="E51" s="11"/>
      <c r="F51" s="11"/>
      <c r="G51" s="11"/>
      <c r="H51" s="11"/>
      <c r="K51" s="11"/>
      <c r="L51" s="11"/>
      <c r="M51" s="11"/>
      <c r="N51" s="11"/>
      <c r="O51" s="11"/>
      <c r="Q51" s="11"/>
    </row>
    <row r="52" spans="1:20" ht="13.5" customHeight="1">
      <c r="A52" s="11"/>
      <c r="C52" s="11"/>
      <c r="D52" s="11"/>
      <c r="E52" s="11"/>
      <c r="F52" s="11"/>
      <c r="G52" s="11"/>
      <c r="H52" s="11"/>
      <c r="K52" s="11"/>
      <c r="L52" s="11"/>
      <c r="M52" s="11"/>
      <c r="N52" s="11"/>
      <c r="O52" s="11"/>
      <c r="P52" s="27"/>
      <c r="Q52" s="27"/>
    </row>
    <row r="53" spans="1:20" ht="14.25" customHeight="1">
      <c r="A53" s="11"/>
      <c r="C53" s="11"/>
      <c r="D53" s="11"/>
      <c r="E53" s="11"/>
      <c r="F53" s="11"/>
      <c r="G53" s="11"/>
      <c r="H53" s="11"/>
      <c r="K53" s="11"/>
      <c r="L53" s="11"/>
      <c r="M53" s="11"/>
      <c r="N53" s="11"/>
      <c r="O53" s="11"/>
      <c r="P53" s="79"/>
      <c r="Q53" s="11"/>
    </row>
    <row r="54" spans="1:20" ht="12.75" customHeight="1">
      <c r="A54" s="11"/>
      <c r="C54" s="11"/>
      <c r="D54" s="11"/>
      <c r="E54" s="11"/>
      <c r="F54" s="11"/>
      <c r="G54" s="11"/>
      <c r="H54" s="11"/>
      <c r="K54" s="11"/>
      <c r="L54" s="11"/>
      <c r="M54" s="11"/>
      <c r="N54" s="11"/>
      <c r="O54" s="11"/>
      <c r="P54" s="79"/>
      <c r="Q54" s="11"/>
    </row>
    <row r="55" spans="1:20" ht="12.75" customHeight="1">
      <c r="A55" s="11"/>
      <c r="C55" s="11"/>
      <c r="D55" s="11"/>
      <c r="E55" s="11"/>
      <c r="F55" s="11"/>
      <c r="G55" s="11"/>
      <c r="H55" s="11"/>
      <c r="K55" s="11"/>
      <c r="L55" s="11"/>
      <c r="M55" s="11"/>
      <c r="N55" s="11"/>
      <c r="O55" s="11"/>
      <c r="P55" s="55"/>
      <c r="Q55" s="11"/>
    </row>
    <row r="56" spans="1:20" ht="12.75" customHeight="1">
      <c r="A56" s="11"/>
      <c r="C56" s="11"/>
      <c r="D56" s="11"/>
      <c r="E56" s="11"/>
      <c r="F56" s="11"/>
      <c r="G56" s="11"/>
      <c r="H56" s="11"/>
      <c r="K56" s="11"/>
      <c r="L56" s="11"/>
      <c r="M56" s="11"/>
      <c r="N56" s="11"/>
      <c r="O56" s="11"/>
    </row>
    <row r="57" spans="1:20" s="11" customFormat="1" ht="12.75" customHeight="1">
      <c r="B57" s="77"/>
      <c r="C57" s="77"/>
      <c r="I57" s="76"/>
      <c r="J57" s="76"/>
      <c r="P57" s="43" t="s">
        <v>147</v>
      </c>
      <c r="R57" s="30"/>
      <c r="S57" s="65"/>
      <c r="T57" s="72"/>
    </row>
    <row r="58" spans="1:20" s="11" customFormat="1" ht="12.75" customHeight="1">
      <c r="B58" s="77"/>
      <c r="C58" s="77"/>
      <c r="I58" s="76"/>
      <c r="J58" s="76"/>
      <c r="P58" s="43" t="s">
        <v>147</v>
      </c>
      <c r="R58" s="34"/>
      <c r="S58" s="65"/>
      <c r="T58" s="72"/>
    </row>
    <row r="59" spans="1:20" ht="12.75" customHeight="1">
      <c r="A59" s="11"/>
      <c r="D59" s="11"/>
      <c r="E59" s="11"/>
      <c r="F59" s="11"/>
      <c r="G59" s="11"/>
      <c r="H59" s="11"/>
      <c r="K59" s="11"/>
      <c r="L59" s="11"/>
      <c r="M59" s="11"/>
      <c r="N59" s="11"/>
      <c r="O59" s="11"/>
    </row>
    <row r="60" spans="1:20" ht="12.75" customHeight="1">
      <c r="A60" s="11"/>
      <c r="D60" s="11"/>
      <c r="E60" s="11"/>
      <c r="F60" s="11"/>
      <c r="G60" s="11"/>
      <c r="H60" s="11"/>
      <c r="K60" s="11"/>
      <c r="L60" s="11"/>
      <c r="M60" s="11"/>
      <c r="N60" s="11"/>
      <c r="O60" s="11"/>
    </row>
    <row r="61" spans="1:20" ht="12.75" customHeight="1">
      <c r="A61" s="1"/>
      <c r="G61" s="34"/>
      <c r="H61" s="34"/>
      <c r="K61" s="33"/>
      <c r="L61" s="35"/>
      <c r="M61" s="3"/>
      <c r="O61" s="54"/>
    </row>
    <row r="62" spans="1:20" ht="14.85" customHeight="1">
      <c r="L62" s="52"/>
      <c r="O62" s="54"/>
    </row>
  </sheetData>
  <mergeCells count="57">
    <mergeCell ref="D37:E37"/>
    <mergeCell ref="D38:E38"/>
    <mergeCell ref="D39:E39"/>
    <mergeCell ref="A1:A39"/>
    <mergeCell ref="F1:F6"/>
    <mergeCell ref="F7:F10"/>
    <mergeCell ref="F11:F14"/>
    <mergeCell ref="F15:F18"/>
    <mergeCell ref="F19:F22"/>
    <mergeCell ref="F23:F26"/>
    <mergeCell ref="F27:F30"/>
    <mergeCell ref="F31:F34"/>
    <mergeCell ref="F35:F36"/>
    <mergeCell ref="F38:F39"/>
    <mergeCell ref="D32:E32"/>
    <mergeCell ref="D33:E33"/>
    <mergeCell ref="D34:E34"/>
    <mergeCell ref="D35:E35"/>
    <mergeCell ref="D36:E36"/>
    <mergeCell ref="D24:E24"/>
    <mergeCell ref="D25:E25"/>
    <mergeCell ref="D28:E28"/>
    <mergeCell ref="D29:E29"/>
    <mergeCell ref="D30:E30"/>
    <mergeCell ref="D17:E17"/>
    <mergeCell ref="D19:E19"/>
    <mergeCell ref="D20:E20"/>
    <mergeCell ref="D21:E21"/>
    <mergeCell ref="D23:E23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1:E11"/>
    <mergeCell ref="D12:E12"/>
    <mergeCell ref="D13:E13"/>
    <mergeCell ref="D15:E15"/>
    <mergeCell ref="D16:E16"/>
    <mergeCell ref="Q1:Q50"/>
    <mergeCell ref="P53:P54"/>
    <mergeCell ref="T9:T12"/>
    <mergeCell ref="T13:T17"/>
    <mergeCell ref="T18:T21"/>
    <mergeCell ref="T22:T25"/>
    <mergeCell ref="T26:T29"/>
    <mergeCell ref="T30:T33"/>
    <mergeCell ref="T34:T37"/>
    <mergeCell ref="T38:T41"/>
    <mergeCell ref="T42:T45"/>
    <mergeCell ref="T46:T49"/>
    <mergeCell ref="T1:T5"/>
    <mergeCell ref="T6:T8"/>
  </mergeCells>
  <phoneticPr fontId="1" type="noConversion"/>
  <pageMargins left="0.5" right="0.08" top="0.22" bottom="0.19" header="0.12" footer="0.21"/>
  <pageSetup paperSize="9" scale="96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32" sqref="K32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2"/>
  <sheetViews>
    <sheetView workbookViewId="0">
      <selection activeCell="S39" sqref="S37:S39"/>
    </sheetView>
  </sheetViews>
  <sheetFormatPr defaultColWidth="8" defaultRowHeight="14.85" customHeight="1"/>
  <cols>
    <col min="1" max="1" width="8.25" style="48" customWidth="1"/>
    <col min="2" max="2" width="8.125" style="48" customWidth="1"/>
    <col min="3" max="3" width="4.5" style="48" customWidth="1"/>
    <col min="4" max="4" width="8.25" style="48" customWidth="1"/>
    <col min="5" max="5" width="8.375" style="48" customWidth="1"/>
    <col min="6" max="6" width="5.75" style="48" customWidth="1"/>
    <col min="7" max="7" width="5.25" style="49" customWidth="1"/>
    <col min="8" max="8" width="5" style="49" customWidth="1"/>
    <col min="9" max="9" width="7.25" style="49" customWidth="1"/>
    <col min="10" max="10" width="5.25" style="47" customWidth="1"/>
    <col min="11" max="12" width="5.25" style="49" customWidth="1"/>
    <col min="13" max="14" width="5.25" style="47" customWidth="1"/>
    <col min="15" max="15" width="5.5" style="47" customWidth="1"/>
    <col min="16" max="16384" width="8" style="48"/>
  </cols>
  <sheetData>
    <row r="1" spans="1:21" ht="10.5" customHeight="1">
      <c r="A1" s="86"/>
      <c r="B1" s="86"/>
      <c r="C1" s="86"/>
      <c r="D1" s="86"/>
      <c r="E1" s="86"/>
      <c r="F1" s="86"/>
      <c r="G1" s="87"/>
      <c r="H1" s="87"/>
      <c r="I1" s="87"/>
      <c r="J1" s="87"/>
      <c r="K1" s="87"/>
      <c r="L1" s="87"/>
      <c r="M1" s="87"/>
      <c r="N1" s="87"/>
      <c r="O1" s="87"/>
    </row>
    <row r="2" spans="1:21" ht="15.75" customHeight="1">
      <c r="A2" s="86"/>
      <c r="B2" s="86"/>
      <c r="C2" s="86"/>
      <c r="D2" s="86"/>
      <c r="E2" s="86"/>
      <c r="F2" s="86"/>
      <c r="G2" s="87"/>
      <c r="H2" s="87"/>
      <c r="I2" s="87"/>
      <c r="J2" s="87"/>
      <c r="K2" s="87"/>
      <c r="L2" s="87"/>
      <c r="M2" s="87"/>
      <c r="N2" s="87"/>
      <c r="O2" s="87"/>
    </row>
    <row r="3" spans="1:21" ht="15" customHeight="1">
      <c r="A3" s="88" t="s">
        <v>0</v>
      </c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49"/>
    </row>
    <row r="4" spans="1:21" ht="12.75" customHeight="1">
      <c r="A4" s="1" t="s">
        <v>1</v>
      </c>
      <c r="K4" s="2"/>
      <c r="L4" s="2"/>
      <c r="M4" s="3" t="s">
        <v>2</v>
      </c>
      <c r="N4" s="90" t="s">
        <v>156</v>
      </c>
      <c r="O4" s="90"/>
    </row>
    <row r="5" spans="1:21" ht="15" customHeight="1">
      <c r="A5" s="91" t="s">
        <v>3</v>
      </c>
      <c r="B5" s="91" t="s">
        <v>4</v>
      </c>
      <c r="C5" s="91" t="s">
        <v>5</v>
      </c>
      <c r="D5" s="91" t="s">
        <v>6</v>
      </c>
      <c r="E5" s="91" t="s">
        <v>7</v>
      </c>
      <c r="F5" s="93" t="s">
        <v>8</v>
      </c>
      <c r="G5" s="95" t="s">
        <v>9</v>
      </c>
      <c r="H5" s="95"/>
      <c r="I5" s="96" t="s">
        <v>10</v>
      </c>
      <c r="J5" s="51"/>
      <c r="K5" s="95" t="s">
        <v>11</v>
      </c>
      <c r="L5" s="95"/>
      <c r="M5" s="98" t="s">
        <v>12</v>
      </c>
      <c r="N5" s="99"/>
      <c r="O5" s="96" t="s">
        <v>13</v>
      </c>
    </row>
    <row r="6" spans="1:21" ht="15" customHeight="1">
      <c r="A6" s="92"/>
      <c r="B6" s="92"/>
      <c r="C6" s="92"/>
      <c r="D6" s="92"/>
      <c r="E6" s="92"/>
      <c r="F6" s="94"/>
      <c r="G6" s="50" t="s">
        <v>170</v>
      </c>
      <c r="H6" s="50" t="s">
        <v>15</v>
      </c>
      <c r="I6" s="97"/>
      <c r="J6" s="50" t="s">
        <v>5</v>
      </c>
      <c r="K6" s="50" t="s">
        <v>14</v>
      </c>
      <c r="L6" s="50" t="s">
        <v>15</v>
      </c>
      <c r="M6" s="50" t="s">
        <v>14</v>
      </c>
      <c r="N6" s="50" t="s">
        <v>15</v>
      </c>
      <c r="O6" s="97"/>
    </row>
    <row r="7" spans="1:21" s="11" customFormat="1" ht="12.75" customHeight="1">
      <c r="A7" s="4" t="s">
        <v>135</v>
      </c>
      <c r="B7" s="4" t="s">
        <v>16</v>
      </c>
      <c r="C7" s="5" t="s">
        <v>17</v>
      </c>
      <c r="D7" s="6" t="s">
        <v>18</v>
      </c>
      <c r="E7" s="6" t="s">
        <v>19</v>
      </c>
      <c r="F7" s="7">
        <v>11</v>
      </c>
      <c r="G7" s="84" t="s">
        <v>213</v>
      </c>
      <c r="H7" s="85"/>
      <c r="I7" s="46" t="s">
        <v>136</v>
      </c>
      <c r="J7" s="46" t="s">
        <v>20</v>
      </c>
      <c r="K7" s="46"/>
      <c r="L7" s="46"/>
      <c r="M7" s="46"/>
      <c r="N7" s="46"/>
      <c r="O7" s="50"/>
      <c r="U7" s="11" t="s">
        <v>21</v>
      </c>
    </row>
    <row r="8" spans="1:21" s="11" customFormat="1" ht="12.75" customHeight="1">
      <c r="A8" s="4" t="s">
        <v>22</v>
      </c>
      <c r="B8" s="4" t="s">
        <v>16</v>
      </c>
      <c r="C8" s="5" t="s">
        <v>17</v>
      </c>
      <c r="D8" s="6" t="s">
        <v>18</v>
      </c>
      <c r="E8" s="6" t="s">
        <v>19</v>
      </c>
      <c r="F8" s="7">
        <v>11</v>
      </c>
      <c r="G8" s="84" t="s">
        <v>181</v>
      </c>
      <c r="H8" s="85"/>
      <c r="I8" s="46" t="s">
        <v>136</v>
      </c>
      <c r="J8" s="46" t="s">
        <v>20</v>
      </c>
      <c r="K8" s="36"/>
      <c r="L8" s="46"/>
      <c r="M8" s="46"/>
      <c r="N8" s="46"/>
      <c r="O8" s="50"/>
    </row>
    <row r="9" spans="1:21" s="11" customFormat="1" ht="12.75" customHeight="1">
      <c r="A9" s="4" t="s">
        <v>23</v>
      </c>
      <c r="B9" s="4" t="s">
        <v>16</v>
      </c>
      <c r="C9" s="5" t="s">
        <v>17</v>
      </c>
      <c r="D9" s="6" t="s">
        <v>18</v>
      </c>
      <c r="E9" s="6" t="s">
        <v>19</v>
      </c>
      <c r="F9" s="7">
        <v>11</v>
      </c>
      <c r="G9" s="84" t="s">
        <v>181</v>
      </c>
      <c r="H9" s="85"/>
      <c r="I9" s="46" t="s">
        <v>136</v>
      </c>
      <c r="J9" s="46" t="s">
        <v>20</v>
      </c>
      <c r="K9" s="46"/>
      <c r="L9" s="46"/>
      <c r="M9" s="46"/>
      <c r="N9" s="46"/>
      <c r="O9" s="50"/>
    </row>
    <row r="10" spans="1:21" s="11" customFormat="1" ht="12.75" customHeight="1">
      <c r="A10" s="4" t="s">
        <v>24</v>
      </c>
      <c r="B10" s="4" t="s">
        <v>16</v>
      </c>
      <c r="C10" s="5" t="s">
        <v>17</v>
      </c>
      <c r="D10" s="6" t="s">
        <v>25</v>
      </c>
      <c r="E10" s="6" t="s">
        <v>19</v>
      </c>
      <c r="F10" s="7">
        <v>11</v>
      </c>
      <c r="G10" s="84" t="s">
        <v>146</v>
      </c>
      <c r="H10" s="85"/>
      <c r="I10" s="46" t="s">
        <v>136</v>
      </c>
      <c r="J10" s="46" t="s">
        <v>20</v>
      </c>
      <c r="K10" s="46"/>
      <c r="L10" s="46"/>
      <c r="M10" s="46"/>
      <c r="N10" s="46"/>
      <c r="O10" s="50"/>
    </row>
    <row r="11" spans="1:21" s="11" customFormat="1" ht="12.75" customHeight="1">
      <c r="A11" s="4" t="s">
        <v>26</v>
      </c>
      <c r="B11" s="4">
        <v>7025</v>
      </c>
      <c r="C11" s="12" t="s">
        <v>27</v>
      </c>
      <c r="D11" s="13" t="s">
        <v>28</v>
      </c>
      <c r="E11" s="13" t="s">
        <v>29</v>
      </c>
      <c r="F11" s="14">
        <v>0.3</v>
      </c>
      <c r="G11" s="84" t="s">
        <v>214</v>
      </c>
      <c r="H11" s="85"/>
      <c r="I11" s="46" t="s">
        <v>145</v>
      </c>
      <c r="J11" s="46" t="s">
        <v>60</v>
      </c>
      <c r="K11" s="46"/>
      <c r="L11" s="46"/>
      <c r="M11" s="46"/>
      <c r="N11" s="46"/>
      <c r="O11" s="50"/>
      <c r="P11" s="10"/>
    </row>
    <row r="12" spans="1:21" s="11" customFormat="1" ht="12.75" customHeight="1">
      <c r="A12" s="4" t="s">
        <v>30</v>
      </c>
      <c r="B12" s="4" t="s">
        <v>31</v>
      </c>
      <c r="C12" s="5" t="s">
        <v>17</v>
      </c>
      <c r="D12" s="13" t="s">
        <v>32</v>
      </c>
      <c r="E12" s="13" t="s">
        <v>33</v>
      </c>
      <c r="F12" s="15">
        <v>13</v>
      </c>
      <c r="G12" s="84" t="s">
        <v>149</v>
      </c>
      <c r="H12" s="85"/>
      <c r="I12" s="46" t="s">
        <v>136</v>
      </c>
      <c r="J12" s="46" t="s">
        <v>60</v>
      </c>
      <c r="K12" s="46"/>
      <c r="L12" s="46"/>
      <c r="M12" s="46"/>
      <c r="N12" s="46"/>
      <c r="O12" s="50"/>
    </row>
    <row r="13" spans="1:21" s="11" customFormat="1" ht="12.75" customHeight="1">
      <c r="A13" s="93" t="s">
        <v>132</v>
      </c>
      <c r="B13" s="16" t="s">
        <v>35</v>
      </c>
      <c r="C13" s="12" t="s">
        <v>36</v>
      </c>
      <c r="D13" s="17" t="s">
        <v>37</v>
      </c>
      <c r="E13" s="7" t="s">
        <v>37</v>
      </c>
      <c r="F13" s="17">
        <v>50</v>
      </c>
      <c r="G13" s="84" t="s">
        <v>215</v>
      </c>
      <c r="H13" s="85"/>
      <c r="I13" s="101" t="s">
        <v>136</v>
      </c>
      <c r="J13" s="46" t="s">
        <v>60</v>
      </c>
      <c r="K13" s="46"/>
      <c r="L13" s="46"/>
      <c r="M13" s="46"/>
      <c r="N13" s="46"/>
      <c r="O13" s="50"/>
    </row>
    <row r="14" spans="1:21" s="11" customFormat="1" ht="12.75" customHeight="1">
      <c r="A14" s="94"/>
      <c r="B14" s="16" t="s">
        <v>38</v>
      </c>
      <c r="C14" s="18" t="s">
        <v>39</v>
      </c>
      <c r="D14" s="17" t="s">
        <v>40</v>
      </c>
      <c r="E14" s="7" t="s">
        <v>40</v>
      </c>
      <c r="F14" s="7"/>
      <c r="G14" s="46" t="s">
        <v>216</v>
      </c>
      <c r="H14" s="8"/>
      <c r="I14" s="103"/>
      <c r="J14" s="46" t="s">
        <v>60</v>
      </c>
      <c r="K14" s="46"/>
      <c r="L14" s="46"/>
      <c r="M14" s="46"/>
      <c r="N14" s="46"/>
      <c r="O14" s="50"/>
    </row>
    <row r="15" spans="1:21" s="11" customFormat="1" ht="12.75" customHeight="1">
      <c r="A15" s="93" t="s">
        <v>41</v>
      </c>
      <c r="B15" s="16" t="s">
        <v>35</v>
      </c>
      <c r="C15" s="12" t="s">
        <v>36</v>
      </c>
      <c r="D15" s="17" t="s">
        <v>42</v>
      </c>
      <c r="E15" s="7" t="s">
        <v>43</v>
      </c>
      <c r="F15" s="17">
        <v>90</v>
      </c>
      <c r="G15" s="84" t="s">
        <v>217</v>
      </c>
      <c r="H15" s="85"/>
      <c r="I15" s="101" t="s">
        <v>137</v>
      </c>
      <c r="J15" s="46" t="s">
        <v>60</v>
      </c>
      <c r="K15" s="46"/>
      <c r="L15" s="46"/>
      <c r="M15" s="46"/>
      <c r="N15" s="46"/>
      <c r="O15" s="50"/>
    </row>
    <row r="16" spans="1:21" s="11" customFormat="1" ht="12.75" customHeight="1">
      <c r="A16" s="100"/>
      <c r="B16" s="16" t="s">
        <v>44</v>
      </c>
      <c r="C16" s="12" t="s">
        <v>36</v>
      </c>
      <c r="D16" s="17" t="s">
        <v>45</v>
      </c>
      <c r="E16" s="7" t="s">
        <v>46</v>
      </c>
      <c r="F16" s="17">
        <v>40</v>
      </c>
      <c r="G16" s="84" t="s">
        <v>218</v>
      </c>
      <c r="H16" s="85"/>
      <c r="I16" s="102"/>
      <c r="J16" s="46" t="s">
        <v>20</v>
      </c>
      <c r="K16" s="46"/>
      <c r="L16" s="46"/>
      <c r="M16" s="46"/>
      <c r="N16" s="46"/>
      <c r="O16" s="50"/>
    </row>
    <row r="17" spans="1:17" s="11" customFormat="1" ht="12.75" customHeight="1">
      <c r="A17" s="94"/>
      <c r="B17" s="16" t="s">
        <v>38</v>
      </c>
      <c r="C17" s="18" t="s">
        <v>39</v>
      </c>
      <c r="D17" s="17" t="s">
        <v>47</v>
      </c>
      <c r="E17" s="7" t="s">
        <v>48</v>
      </c>
      <c r="F17" s="17">
        <v>2</v>
      </c>
      <c r="G17" s="46" t="s">
        <v>182</v>
      </c>
      <c r="H17" s="8"/>
      <c r="I17" s="103"/>
      <c r="J17" s="46" t="s">
        <v>20</v>
      </c>
      <c r="K17" s="46"/>
      <c r="L17" s="46"/>
      <c r="M17" s="46"/>
      <c r="N17" s="46"/>
      <c r="O17" s="50"/>
    </row>
    <row r="18" spans="1:17" s="11" customFormat="1" ht="12.75" customHeight="1">
      <c r="A18" s="93" t="s">
        <v>49</v>
      </c>
      <c r="B18" s="16" t="s">
        <v>35</v>
      </c>
      <c r="C18" s="12" t="s">
        <v>36</v>
      </c>
      <c r="D18" s="17" t="s">
        <v>42</v>
      </c>
      <c r="E18" s="7" t="s">
        <v>43</v>
      </c>
      <c r="F18" s="17">
        <v>90</v>
      </c>
      <c r="G18" s="84" t="s">
        <v>175</v>
      </c>
      <c r="H18" s="85"/>
      <c r="I18" s="101" t="s">
        <v>138</v>
      </c>
      <c r="J18" s="46" t="s">
        <v>60</v>
      </c>
      <c r="K18" s="46" t="s">
        <v>191</v>
      </c>
      <c r="L18" s="46"/>
      <c r="M18" s="46" t="s">
        <v>219</v>
      </c>
      <c r="N18" s="46"/>
      <c r="O18" s="50"/>
    </row>
    <row r="19" spans="1:17" s="11" customFormat="1" ht="12.75" customHeight="1">
      <c r="A19" s="100"/>
      <c r="B19" s="16" t="s">
        <v>44</v>
      </c>
      <c r="C19" s="12" t="s">
        <v>36</v>
      </c>
      <c r="D19" s="17" t="s">
        <v>45</v>
      </c>
      <c r="E19" s="17" t="s">
        <v>46</v>
      </c>
      <c r="F19" s="17">
        <v>40</v>
      </c>
      <c r="G19" s="84" t="s">
        <v>186</v>
      </c>
      <c r="H19" s="85"/>
      <c r="I19" s="102"/>
      <c r="J19" s="46" t="s">
        <v>20</v>
      </c>
      <c r="K19" s="46"/>
      <c r="L19" s="46"/>
      <c r="M19" s="46"/>
      <c r="N19" s="46"/>
      <c r="O19" s="50"/>
    </row>
    <row r="20" spans="1:17" s="11" customFormat="1" ht="12.75" customHeight="1">
      <c r="A20" s="94"/>
      <c r="B20" s="16" t="s">
        <v>38</v>
      </c>
      <c r="C20" s="18" t="s">
        <v>39</v>
      </c>
      <c r="D20" s="17" t="s">
        <v>47</v>
      </c>
      <c r="E20" s="17" t="s">
        <v>48</v>
      </c>
      <c r="F20" s="17">
        <v>2</v>
      </c>
      <c r="G20" s="46" t="s">
        <v>155</v>
      </c>
      <c r="H20" s="8"/>
      <c r="I20" s="103"/>
      <c r="J20" s="46" t="s">
        <v>20</v>
      </c>
      <c r="K20" s="46"/>
      <c r="L20" s="46"/>
      <c r="M20" s="46"/>
      <c r="N20" s="46"/>
      <c r="O20" s="50"/>
    </row>
    <row r="21" spans="1:17" s="11" customFormat="1" ht="12.75" customHeight="1">
      <c r="A21" s="104" t="s">
        <v>50</v>
      </c>
      <c r="B21" s="16" t="s">
        <v>35</v>
      </c>
      <c r="C21" s="12" t="s">
        <v>36</v>
      </c>
      <c r="D21" s="17" t="s">
        <v>42</v>
      </c>
      <c r="E21" s="17" t="s">
        <v>51</v>
      </c>
      <c r="F21" s="17">
        <v>90</v>
      </c>
      <c r="G21" s="84" t="s">
        <v>192</v>
      </c>
      <c r="H21" s="85"/>
      <c r="I21" s="101" t="s">
        <v>139</v>
      </c>
      <c r="J21" s="46" t="s">
        <v>60</v>
      </c>
      <c r="K21" s="46"/>
      <c r="L21" s="46"/>
      <c r="M21" s="46"/>
      <c r="N21" s="50"/>
      <c r="O21" s="37"/>
    </row>
    <row r="22" spans="1:17" s="11" customFormat="1" ht="12.75" customHeight="1">
      <c r="A22" s="104"/>
      <c r="B22" s="16" t="s">
        <v>52</v>
      </c>
      <c r="C22" s="12" t="s">
        <v>36</v>
      </c>
      <c r="D22" s="46" t="s">
        <v>53</v>
      </c>
      <c r="E22" s="46" t="s">
        <v>54</v>
      </c>
      <c r="F22" s="17">
        <v>10</v>
      </c>
      <c r="G22" s="84" t="s">
        <v>169</v>
      </c>
      <c r="H22" s="85"/>
      <c r="I22" s="102"/>
      <c r="J22" s="46" t="s">
        <v>20</v>
      </c>
      <c r="K22" s="46"/>
      <c r="L22" s="46"/>
      <c r="M22" s="46"/>
      <c r="N22" s="50"/>
      <c r="O22" s="37"/>
      <c r="Q22" s="43" t="s">
        <v>148</v>
      </c>
    </row>
    <row r="23" spans="1:17" s="11" customFormat="1" ht="12.75" customHeight="1">
      <c r="A23" s="104"/>
      <c r="B23" s="16" t="s">
        <v>44</v>
      </c>
      <c r="C23" s="12" t="s">
        <v>36</v>
      </c>
      <c r="D23" s="17" t="s">
        <v>45</v>
      </c>
      <c r="E23" s="17" t="s">
        <v>46</v>
      </c>
      <c r="F23" s="17">
        <v>40</v>
      </c>
      <c r="G23" s="84" t="s">
        <v>153</v>
      </c>
      <c r="H23" s="85"/>
      <c r="I23" s="102"/>
      <c r="J23" s="46" t="s">
        <v>20</v>
      </c>
      <c r="K23" s="46"/>
      <c r="L23" s="46"/>
      <c r="M23" s="46"/>
      <c r="N23" s="50"/>
      <c r="O23" s="38"/>
    </row>
    <row r="24" spans="1:17" s="11" customFormat="1" ht="12.75" customHeight="1">
      <c r="A24" s="104"/>
      <c r="B24" s="16" t="s">
        <v>38</v>
      </c>
      <c r="C24" s="18" t="s">
        <v>39</v>
      </c>
      <c r="D24" s="17" t="s">
        <v>55</v>
      </c>
      <c r="E24" s="17" t="s">
        <v>56</v>
      </c>
      <c r="F24" s="19">
        <v>4.2</v>
      </c>
      <c r="G24" s="46" t="s">
        <v>187</v>
      </c>
      <c r="H24" s="8"/>
      <c r="I24" s="103"/>
      <c r="J24" s="46" t="s">
        <v>20</v>
      </c>
      <c r="K24" s="46"/>
      <c r="L24" s="46"/>
      <c r="M24" s="46"/>
      <c r="N24" s="50"/>
      <c r="O24" s="37"/>
    </row>
    <row r="25" spans="1:17" s="11" customFormat="1" ht="12.75" customHeight="1">
      <c r="A25" s="104" t="s">
        <v>57</v>
      </c>
      <c r="B25" s="16" t="s">
        <v>35</v>
      </c>
      <c r="C25" s="12" t="s">
        <v>36</v>
      </c>
      <c r="D25" s="17" t="s">
        <v>42</v>
      </c>
      <c r="E25" s="17" t="s">
        <v>51</v>
      </c>
      <c r="F25" s="17">
        <v>90</v>
      </c>
      <c r="G25" s="84" t="s">
        <v>193</v>
      </c>
      <c r="H25" s="85"/>
      <c r="I25" s="101" t="s">
        <v>140</v>
      </c>
      <c r="J25" s="46" t="s">
        <v>60</v>
      </c>
      <c r="K25" s="46"/>
      <c r="L25" s="46"/>
      <c r="M25" s="46"/>
      <c r="N25" s="50"/>
      <c r="O25" s="37"/>
    </row>
    <row r="26" spans="1:17" s="11" customFormat="1" ht="12.75" customHeight="1">
      <c r="A26" s="104"/>
      <c r="B26" s="16" t="s">
        <v>52</v>
      </c>
      <c r="C26" s="12" t="s">
        <v>36</v>
      </c>
      <c r="D26" s="46" t="s">
        <v>58</v>
      </c>
      <c r="E26" s="46" t="s">
        <v>54</v>
      </c>
      <c r="F26" s="17">
        <v>10</v>
      </c>
      <c r="G26" s="84" t="s">
        <v>164</v>
      </c>
      <c r="H26" s="85"/>
      <c r="I26" s="102"/>
      <c r="J26" s="46" t="s">
        <v>20</v>
      </c>
      <c r="K26" s="46"/>
      <c r="L26" s="46"/>
      <c r="M26" s="46"/>
      <c r="N26" s="50"/>
      <c r="O26" s="37"/>
    </row>
    <row r="27" spans="1:17" s="11" customFormat="1" ht="12.75" customHeight="1">
      <c r="A27" s="104"/>
      <c r="B27" s="16" t="s">
        <v>44</v>
      </c>
      <c r="C27" s="12" t="s">
        <v>36</v>
      </c>
      <c r="D27" s="17" t="s">
        <v>45</v>
      </c>
      <c r="E27" s="17" t="s">
        <v>46</v>
      </c>
      <c r="F27" s="17">
        <v>40</v>
      </c>
      <c r="G27" s="84" t="s">
        <v>134</v>
      </c>
      <c r="H27" s="85"/>
      <c r="I27" s="102"/>
      <c r="J27" s="46" t="s">
        <v>20</v>
      </c>
      <c r="K27" s="46"/>
      <c r="L27" s="46"/>
      <c r="M27" s="46"/>
      <c r="N27" s="50"/>
      <c r="O27" s="37"/>
    </row>
    <row r="28" spans="1:17" s="11" customFormat="1" ht="12.75" customHeight="1">
      <c r="A28" s="104"/>
      <c r="B28" s="16" t="s">
        <v>38</v>
      </c>
      <c r="C28" s="18" t="s">
        <v>39</v>
      </c>
      <c r="D28" s="17" t="s">
        <v>55</v>
      </c>
      <c r="E28" s="17" t="s">
        <v>56</v>
      </c>
      <c r="F28" s="19">
        <v>4.2</v>
      </c>
      <c r="G28" s="46" t="s">
        <v>171</v>
      </c>
      <c r="H28" s="8"/>
      <c r="I28" s="103"/>
      <c r="J28" s="46" t="s">
        <v>20</v>
      </c>
      <c r="K28" s="46"/>
      <c r="L28" s="46"/>
      <c r="M28" s="46"/>
      <c r="N28" s="50"/>
      <c r="O28" s="37"/>
    </row>
    <row r="29" spans="1:17" s="11" customFormat="1" ht="12.75" customHeight="1">
      <c r="A29" s="104" t="s">
        <v>59</v>
      </c>
      <c r="B29" s="16" t="s">
        <v>35</v>
      </c>
      <c r="C29" s="12" t="s">
        <v>36</v>
      </c>
      <c r="D29" s="17" t="s">
        <v>42</v>
      </c>
      <c r="E29" s="17" t="s">
        <v>51</v>
      </c>
      <c r="F29" s="17">
        <v>90</v>
      </c>
      <c r="G29" s="84" t="s">
        <v>158</v>
      </c>
      <c r="H29" s="85"/>
      <c r="I29" s="101" t="s">
        <v>141</v>
      </c>
      <c r="J29" s="46" t="s">
        <v>60</v>
      </c>
      <c r="K29" s="46"/>
      <c r="L29" s="46"/>
      <c r="M29" s="46"/>
      <c r="N29" s="50"/>
      <c r="O29" s="41"/>
    </row>
    <row r="30" spans="1:17" s="11" customFormat="1" ht="12.75" customHeight="1">
      <c r="A30" s="104"/>
      <c r="B30" s="16" t="s">
        <v>52</v>
      </c>
      <c r="C30" s="12" t="s">
        <v>36</v>
      </c>
      <c r="D30" s="46" t="s">
        <v>58</v>
      </c>
      <c r="E30" s="46" t="s">
        <v>54</v>
      </c>
      <c r="F30" s="17">
        <v>10</v>
      </c>
      <c r="G30" s="84" t="s">
        <v>195</v>
      </c>
      <c r="H30" s="85"/>
      <c r="I30" s="102"/>
      <c r="J30" s="46" t="s">
        <v>20</v>
      </c>
      <c r="K30" s="46"/>
      <c r="L30" s="46"/>
      <c r="M30" s="46"/>
      <c r="N30" s="50"/>
      <c r="O30" s="37"/>
    </row>
    <row r="31" spans="1:17" s="11" customFormat="1" ht="12.75" customHeight="1">
      <c r="A31" s="104"/>
      <c r="B31" s="16" t="s">
        <v>44</v>
      </c>
      <c r="C31" s="12" t="s">
        <v>36</v>
      </c>
      <c r="D31" s="17" t="s">
        <v>45</v>
      </c>
      <c r="E31" s="17" t="s">
        <v>46</v>
      </c>
      <c r="F31" s="17">
        <v>40</v>
      </c>
      <c r="G31" s="84" t="s">
        <v>153</v>
      </c>
      <c r="H31" s="85"/>
      <c r="I31" s="102"/>
      <c r="J31" s="46" t="s">
        <v>20</v>
      </c>
      <c r="K31" s="46"/>
      <c r="L31" s="46"/>
      <c r="M31" s="46"/>
      <c r="N31" s="50"/>
      <c r="O31" s="37"/>
    </row>
    <row r="32" spans="1:17" s="11" customFormat="1" ht="12.75" customHeight="1">
      <c r="A32" s="104"/>
      <c r="B32" s="16" t="s">
        <v>38</v>
      </c>
      <c r="C32" s="18" t="s">
        <v>39</v>
      </c>
      <c r="D32" s="17" t="s">
        <v>61</v>
      </c>
      <c r="E32" s="17" t="s">
        <v>62</v>
      </c>
      <c r="F32" s="19">
        <v>2.5</v>
      </c>
      <c r="G32" s="46" t="s">
        <v>196</v>
      </c>
      <c r="H32" s="46"/>
      <c r="I32" s="103"/>
      <c r="J32" s="46" t="s">
        <v>20</v>
      </c>
      <c r="K32" s="46"/>
      <c r="L32" s="46"/>
      <c r="M32" s="46"/>
      <c r="N32" s="50"/>
      <c r="O32" s="37"/>
    </row>
    <row r="33" spans="1:17" ht="12" customHeight="1">
      <c r="A33" s="93" t="s">
        <v>63</v>
      </c>
      <c r="B33" s="20" t="s">
        <v>64</v>
      </c>
      <c r="C33" s="12" t="s">
        <v>36</v>
      </c>
      <c r="D33" s="46" t="s">
        <v>65</v>
      </c>
      <c r="E33" s="46" t="s">
        <v>54</v>
      </c>
      <c r="F33" s="17">
        <v>10</v>
      </c>
      <c r="G33" s="84" t="s">
        <v>209</v>
      </c>
      <c r="H33" s="85"/>
      <c r="I33" s="105" t="s">
        <v>142</v>
      </c>
      <c r="J33" s="46" t="s">
        <v>34</v>
      </c>
      <c r="K33" s="46"/>
      <c r="L33" s="46"/>
      <c r="M33" s="46"/>
      <c r="N33" s="50"/>
      <c r="O33" s="39"/>
    </row>
    <row r="34" spans="1:17" ht="12.75" customHeight="1">
      <c r="A34" s="100"/>
      <c r="B34" s="20" t="s">
        <v>38</v>
      </c>
      <c r="C34" s="18" t="s">
        <v>39</v>
      </c>
      <c r="D34" s="17" t="s">
        <v>66</v>
      </c>
      <c r="E34" s="17" t="s">
        <v>67</v>
      </c>
      <c r="F34" s="17">
        <v>7.3</v>
      </c>
      <c r="G34" s="44" t="s">
        <v>220</v>
      </c>
      <c r="H34" s="8"/>
      <c r="I34" s="105"/>
      <c r="J34" s="46" t="s">
        <v>60</v>
      </c>
      <c r="K34" s="46"/>
      <c r="L34" s="46"/>
      <c r="M34" s="46"/>
      <c r="N34" s="50"/>
      <c r="O34" s="39"/>
    </row>
    <row r="35" spans="1:17" ht="12.75" customHeight="1">
      <c r="A35" s="94"/>
      <c r="B35" s="21" t="s">
        <v>68</v>
      </c>
      <c r="C35" s="5" t="s">
        <v>17</v>
      </c>
      <c r="D35" s="46" t="s">
        <v>69</v>
      </c>
      <c r="E35" s="46" t="s">
        <v>70</v>
      </c>
      <c r="F35" s="17">
        <v>10</v>
      </c>
      <c r="G35" s="84" t="s">
        <v>209</v>
      </c>
      <c r="H35" s="85"/>
      <c r="I35" s="105"/>
      <c r="J35" s="46" t="s">
        <v>34</v>
      </c>
      <c r="K35" s="46"/>
      <c r="L35" s="46"/>
      <c r="M35" s="46"/>
      <c r="N35" s="50"/>
      <c r="O35" s="39"/>
    </row>
    <row r="36" spans="1:17" s="11" customFormat="1" ht="15" customHeight="1">
      <c r="A36" s="93" t="s">
        <v>71</v>
      </c>
      <c r="B36" s="21" t="s">
        <v>72</v>
      </c>
      <c r="C36" s="12" t="s">
        <v>36</v>
      </c>
      <c r="D36" s="17" t="s">
        <v>73</v>
      </c>
      <c r="E36" s="46" t="s">
        <v>74</v>
      </c>
      <c r="F36" s="17">
        <v>16</v>
      </c>
      <c r="G36" s="46" t="s">
        <v>221</v>
      </c>
      <c r="H36" s="8"/>
      <c r="I36" s="105" t="s">
        <v>143</v>
      </c>
      <c r="J36" s="46" t="s">
        <v>75</v>
      </c>
      <c r="K36" s="9"/>
      <c r="L36" s="9"/>
      <c r="M36" s="9"/>
      <c r="N36" s="50"/>
      <c r="O36" s="37"/>
    </row>
    <row r="37" spans="1:17" ht="13.5" customHeight="1">
      <c r="A37" s="100"/>
      <c r="B37" s="21" t="s">
        <v>76</v>
      </c>
      <c r="C37" s="12" t="s">
        <v>36</v>
      </c>
      <c r="D37" s="46" t="s">
        <v>77</v>
      </c>
      <c r="E37" s="46" t="s">
        <v>78</v>
      </c>
      <c r="F37" s="17">
        <v>13</v>
      </c>
      <c r="G37" s="84" t="s">
        <v>222</v>
      </c>
      <c r="H37" s="85"/>
      <c r="I37" s="105"/>
      <c r="J37" s="46" t="s">
        <v>34</v>
      </c>
      <c r="K37" s="9"/>
      <c r="L37" s="9"/>
      <c r="M37" s="9"/>
      <c r="N37" s="50"/>
      <c r="O37" s="39"/>
      <c r="Q37" s="11"/>
    </row>
    <row r="38" spans="1:17" ht="13.5" customHeight="1">
      <c r="A38" s="100"/>
      <c r="B38" s="21" t="s">
        <v>68</v>
      </c>
      <c r="C38" s="5" t="s">
        <v>17</v>
      </c>
      <c r="D38" s="46" t="s">
        <v>79</v>
      </c>
      <c r="E38" s="46" t="s">
        <v>80</v>
      </c>
      <c r="F38" s="17">
        <v>16</v>
      </c>
      <c r="G38" s="84" t="s">
        <v>211</v>
      </c>
      <c r="H38" s="85"/>
      <c r="I38" s="105"/>
      <c r="J38" s="46" t="s">
        <v>20</v>
      </c>
      <c r="K38" s="9"/>
      <c r="L38" s="9"/>
      <c r="M38" s="9"/>
      <c r="N38" s="50"/>
      <c r="O38" s="39"/>
      <c r="Q38" s="11"/>
    </row>
    <row r="39" spans="1:17" ht="13.5" customHeight="1">
      <c r="A39" s="94"/>
      <c r="B39" s="20" t="s">
        <v>38</v>
      </c>
      <c r="C39" s="18" t="s">
        <v>39</v>
      </c>
      <c r="D39" s="17" t="s">
        <v>81</v>
      </c>
      <c r="E39" s="17" t="s">
        <v>82</v>
      </c>
      <c r="F39" s="17">
        <v>7.3</v>
      </c>
      <c r="G39" s="8" t="s">
        <v>210</v>
      </c>
      <c r="H39" s="8"/>
      <c r="I39" s="105"/>
      <c r="J39" s="46" t="s">
        <v>34</v>
      </c>
      <c r="K39" s="9"/>
      <c r="L39" s="9"/>
      <c r="M39" s="9"/>
      <c r="N39" s="50"/>
      <c r="O39" s="40"/>
      <c r="Q39" s="11"/>
    </row>
    <row r="40" spans="1:17" s="11" customFormat="1" ht="13.5" customHeight="1">
      <c r="A40" s="93" t="s">
        <v>83</v>
      </c>
      <c r="B40" s="21" t="s">
        <v>72</v>
      </c>
      <c r="C40" s="12" t="s">
        <v>36</v>
      </c>
      <c r="D40" s="17" t="s">
        <v>84</v>
      </c>
      <c r="E40" s="46" t="s">
        <v>85</v>
      </c>
      <c r="F40" s="17">
        <v>16</v>
      </c>
      <c r="G40" s="46" t="s">
        <v>223</v>
      </c>
      <c r="H40" s="8"/>
      <c r="I40" s="105" t="s">
        <v>143</v>
      </c>
      <c r="J40" s="46" t="s">
        <v>75</v>
      </c>
      <c r="K40" s="9"/>
      <c r="L40" s="9"/>
      <c r="M40" s="9"/>
      <c r="N40" s="50"/>
      <c r="O40" s="37"/>
    </row>
    <row r="41" spans="1:17" ht="13.5" customHeight="1">
      <c r="A41" s="100"/>
      <c r="B41" s="21" t="s">
        <v>76</v>
      </c>
      <c r="C41" s="12" t="s">
        <v>36</v>
      </c>
      <c r="D41" s="46" t="s">
        <v>86</v>
      </c>
      <c r="E41" s="46" t="s">
        <v>87</v>
      </c>
      <c r="F41" s="17">
        <v>13</v>
      </c>
      <c r="G41" s="84" t="s">
        <v>222</v>
      </c>
      <c r="H41" s="85"/>
      <c r="I41" s="105"/>
      <c r="J41" s="46" t="s">
        <v>34</v>
      </c>
      <c r="K41" s="46"/>
      <c r="L41" s="46"/>
      <c r="M41" s="46"/>
      <c r="N41" s="50"/>
      <c r="O41" s="39"/>
      <c r="Q41" s="11"/>
    </row>
    <row r="42" spans="1:17" ht="13.5" customHeight="1">
      <c r="A42" s="100"/>
      <c r="B42" s="21" t="s">
        <v>68</v>
      </c>
      <c r="C42" s="5" t="s">
        <v>17</v>
      </c>
      <c r="D42" s="46" t="s">
        <v>88</v>
      </c>
      <c r="E42" s="46" t="s">
        <v>89</v>
      </c>
      <c r="F42" s="17">
        <v>16</v>
      </c>
      <c r="G42" s="84" t="s">
        <v>211</v>
      </c>
      <c r="H42" s="85"/>
      <c r="I42" s="105"/>
      <c r="J42" s="46" t="s">
        <v>34</v>
      </c>
      <c r="K42" s="9"/>
      <c r="L42" s="9"/>
      <c r="M42" s="9"/>
      <c r="N42" s="50"/>
      <c r="O42" s="39"/>
      <c r="Q42" s="11"/>
    </row>
    <row r="43" spans="1:17" ht="13.5" customHeight="1">
      <c r="A43" s="94"/>
      <c r="B43" s="20" t="s">
        <v>38</v>
      </c>
      <c r="C43" s="18" t="s">
        <v>39</v>
      </c>
      <c r="D43" s="17" t="s">
        <v>66</v>
      </c>
      <c r="E43" s="17" t="s">
        <v>67</v>
      </c>
      <c r="F43" s="17">
        <v>7.3</v>
      </c>
      <c r="G43" s="8" t="s">
        <v>220</v>
      </c>
      <c r="H43" s="8"/>
      <c r="I43" s="105"/>
      <c r="J43" s="46" t="s">
        <v>34</v>
      </c>
      <c r="K43" s="9"/>
      <c r="L43" s="9"/>
      <c r="M43" s="9"/>
      <c r="N43" s="50"/>
      <c r="O43" s="39"/>
      <c r="Q43" s="11"/>
    </row>
    <row r="44" spans="1:17" ht="13.5" customHeight="1">
      <c r="A44" s="93" t="s">
        <v>90</v>
      </c>
      <c r="B44" s="4" t="s">
        <v>91</v>
      </c>
      <c r="C44" s="12" t="s">
        <v>36</v>
      </c>
      <c r="D44" s="46" t="s">
        <v>92</v>
      </c>
      <c r="E44" s="46" t="s">
        <v>93</v>
      </c>
      <c r="F44" s="17">
        <v>6</v>
      </c>
      <c r="G44" s="46" t="s">
        <v>224</v>
      </c>
      <c r="H44" s="8"/>
      <c r="I44" s="101" t="s">
        <v>143</v>
      </c>
      <c r="J44" s="46" t="s">
        <v>75</v>
      </c>
      <c r="K44" s="9"/>
      <c r="L44" s="9"/>
      <c r="M44" s="9"/>
      <c r="N44" s="22"/>
      <c r="O44" s="39"/>
      <c r="Q44" s="11"/>
    </row>
    <row r="45" spans="1:17" ht="13.5" customHeight="1">
      <c r="A45" s="100"/>
      <c r="B45" s="4" t="s">
        <v>68</v>
      </c>
      <c r="C45" s="23" t="s">
        <v>17</v>
      </c>
      <c r="D45" s="46" t="s">
        <v>94</v>
      </c>
      <c r="E45" s="46" t="s">
        <v>95</v>
      </c>
      <c r="F45" s="17">
        <v>10</v>
      </c>
      <c r="G45" s="84" t="s">
        <v>157</v>
      </c>
      <c r="H45" s="85"/>
      <c r="I45" s="102"/>
      <c r="J45" s="46" t="s">
        <v>20</v>
      </c>
      <c r="K45" s="9"/>
      <c r="L45" s="9"/>
      <c r="M45" s="9"/>
      <c r="N45" s="22"/>
      <c r="O45" s="39"/>
      <c r="Q45" s="11"/>
    </row>
    <row r="46" spans="1:17" ht="13.5" customHeight="1">
      <c r="A46" s="100"/>
      <c r="B46" s="16" t="s">
        <v>38</v>
      </c>
      <c r="C46" s="18" t="s">
        <v>39</v>
      </c>
      <c r="D46" s="17" t="s">
        <v>55</v>
      </c>
      <c r="E46" s="17" t="s">
        <v>56</v>
      </c>
      <c r="F46" s="17">
        <v>4.2</v>
      </c>
      <c r="G46" s="84" t="s">
        <v>206</v>
      </c>
      <c r="H46" s="85"/>
      <c r="I46" s="102"/>
      <c r="J46" s="46" t="s">
        <v>20</v>
      </c>
      <c r="K46" s="9"/>
      <c r="L46" s="9"/>
      <c r="M46" s="9"/>
      <c r="N46" s="22"/>
      <c r="O46" s="29"/>
      <c r="Q46" s="11"/>
    </row>
    <row r="47" spans="1:17" ht="13.5" customHeight="1">
      <c r="A47" s="94"/>
      <c r="B47" s="16" t="s">
        <v>96</v>
      </c>
      <c r="C47" s="12" t="s">
        <v>36</v>
      </c>
      <c r="D47" s="17" t="s">
        <v>97</v>
      </c>
      <c r="E47" s="17" t="s">
        <v>98</v>
      </c>
      <c r="F47" s="17">
        <v>0.6</v>
      </c>
      <c r="G47" s="84" t="s">
        <v>190</v>
      </c>
      <c r="H47" s="85"/>
      <c r="I47" s="103"/>
      <c r="J47" s="46" t="s">
        <v>34</v>
      </c>
      <c r="K47" s="9"/>
      <c r="L47" s="9"/>
      <c r="M47" s="9"/>
      <c r="N47" s="22"/>
      <c r="O47" s="39"/>
      <c r="Q47" s="11"/>
    </row>
    <row r="48" spans="1:17" ht="13.5" customHeight="1">
      <c r="A48" s="93" t="s">
        <v>99</v>
      </c>
      <c r="B48" s="4" t="s">
        <v>91</v>
      </c>
      <c r="C48" s="12" t="s">
        <v>36</v>
      </c>
      <c r="D48" s="46" t="s">
        <v>100</v>
      </c>
      <c r="E48" s="46" t="s">
        <v>101</v>
      </c>
      <c r="F48" s="17">
        <v>2.5</v>
      </c>
      <c r="G48" s="46" t="s">
        <v>201</v>
      </c>
      <c r="H48" s="8"/>
      <c r="I48" s="101" t="s">
        <v>142</v>
      </c>
      <c r="J48" s="46" t="s">
        <v>75</v>
      </c>
      <c r="K48" s="9"/>
      <c r="L48" s="9"/>
      <c r="M48" s="9"/>
      <c r="N48" s="50"/>
      <c r="O48" s="39"/>
      <c r="Q48" s="11"/>
    </row>
    <row r="49" spans="1:18" ht="13.5" customHeight="1">
      <c r="A49" s="106"/>
      <c r="B49" s="4" t="s">
        <v>68</v>
      </c>
      <c r="C49" s="23" t="s">
        <v>17</v>
      </c>
      <c r="D49" s="46" t="s">
        <v>54</v>
      </c>
      <c r="E49" s="46" t="s">
        <v>102</v>
      </c>
      <c r="F49" s="17">
        <v>9.5</v>
      </c>
      <c r="G49" s="84" t="s">
        <v>209</v>
      </c>
      <c r="H49" s="85"/>
      <c r="I49" s="102"/>
      <c r="J49" s="46" t="s">
        <v>20</v>
      </c>
      <c r="K49" s="9"/>
      <c r="L49" s="9"/>
      <c r="M49" s="9"/>
      <c r="N49" s="50"/>
      <c r="O49" s="39"/>
      <c r="Q49" s="11"/>
    </row>
    <row r="50" spans="1:18" ht="13.5" customHeight="1">
      <c r="A50" s="106"/>
      <c r="B50" s="16" t="s">
        <v>38</v>
      </c>
      <c r="C50" s="18" t="s">
        <v>39</v>
      </c>
      <c r="D50" s="17" t="s">
        <v>55</v>
      </c>
      <c r="E50" s="17" t="s">
        <v>56</v>
      </c>
      <c r="F50" s="17">
        <v>4.2</v>
      </c>
      <c r="G50" s="84" t="s">
        <v>205</v>
      </c>
      <c r="H50" s="85"/>
      <c r="I50" s="102"/>
      <c r="J50" s="46" t="s">
        <v>20</v>
      </c>
      <c r="K50" s="9"/>
      <c r="L50" s="9"/>
      <c r="M50" s="9"/>
      <c r="N50" s="24"/>
      <c r="O50" s="39"/>
      <c r="Q50" s="11"/>
    </row>
    <row r="51" spans="1:18" ht="13.5" customHeight="1">
      <c r="A51" s="92"/>
      <c r="B51" s="16" t="s">
        <v>96</v>
      </c>
      <c r="C51" s="12" t="s">
        <v>36</v>
      </c>
      <c r="D51" s="17" t="s">
        <v>103</v>
      </c>
      <c r="E51" s="17" t="s">
        <v>103</v>
      </c>
      <c r="F51" s="17">
        <v>0.2</v>
      </c>
      <c r="G51" s="84" t="s">
        <v>204</v>
      </c>
      <c r="H51" s="85"/>
      <c r="I51" s="103"/>
      <c r="J51" s="46" t="s">
        <v>34</v>
      </c>
      <c r="K51" s="9"/>
      <c r="L51" s="9"/>
      <c r="M51" s="9"/>
      <c r="N51" s="24"/>
      <c r="O51" s="39"/>
      <c r="Q51" s="11"/>
    </row>
    <row r="52" spans="1:18" ht="13.5" customHeight="1">
      <c r="A52" s="93" t="s">
        <v>104</v>
      </c>
      <c r="B52" s="25" t="s">
        <v>105</v>
      </c>
      <c r="C52" s="12" t="s">
        <v>36</v>
      </c>
      <c r="D52" s="17" t="s">
        <v>106</v>
      </c>
      <c r="E52" s="17" t="s">
        <v>107</v>
      </c>
      <c r="F52" s="17">
        <v>45</v>
      </c>
      <c r="G52" s="84" t="s">
        <v>200</v>
      </c>
      <c r="H52" s="85"/>
      <c r="I52" s="102" t="s">
        <v>144</v>
      </c>
      <c r="J52" s="46" t="s">
        <v>34</v>
      </c>
      <c r="K52" s="9"/>
      <c r="L52" s="46"/>
      <c r="M52" s="9"/>
      <c r="N52" s="22"/>
      <c r="O52" s="39"/>
      <c r="P52" s="27"/>
      <c r="Q52" s="27"/>
      <c r="R52" s="11"/>
    </row>
    <row r="53" spans="1:18" ht="14.25" customHeight="1">
      <c r="A53" s="94"/>
      <c r="B53" s="25" t="s">
        <v>108</v>
      </c>
      <c r="C53" s="23" t="s">
        <v>109</v>
      </c>
      <c r="D53" s="17" t="s">
        <v>110</v>
      </c>
      <c r="E53" s="17" t="s">
        <v>111</v>
      </c>
      <c r="F53" s="17">
        <v>120</v>
      </c>
      <c r="G53" s="84" t="s">
        <v>225</v>
      </c>
      <c r="H53" s="85"/>
      <c r="I53" s="102"/>
      <c r="J53" s="46" t="s">
        <v>34</v>
      </c>
      <c r="K53" s="9"/>
      <c r="L53" s="9"/>
      <c r="M53" s="9"/>
      <c r="N53" s="26"/>
      <c r="O53" s="46"/>
      <c r="P53" s="79"/>
      <c r="Q53" s="11"/>
    </row>
    <row r="54" spans="1:18" ht="12.75" customHeight="1">
      <c r="A54" s="93" t="s">
        <v>112</v>
      </c>
      <c r="B54" s="25" t="s">
        <v>105</v>
      </c>
      <c r="C54" s="12" t="s">
        <v>36</v>
      </c>
      <c r="D54" s="17" t="s">
        <v>113</v>
      </c>
      <c r="E54" s="17" t="s">
        <v>114</v>
      </c>
      <c r="F54" s="17">
        <v>45</v>
      </c>
      <c r="G54" s="84" t="s">
        <v>200</v>
      </c>
      <c r="H54" s="85"/>
      <c r="I54" s="101" t="s">
        <v>144</v>
      </c>
      <c r="J54" s="46" t="s">
        <v>34</v>
      </c>
      <c r="K54" s="9"/>
      <c r="L54" s="9"/>
      <c r="M54" s="9"/>
      <c r="N54" s="26"/>
      <c r="O54" s="46"/>
      <c r="P54" s="79"/>
      <c r="Q54" s="11"/>
    </row>
    <row r="55" spans="1:18" ht="12.75" customHeight="1">
      <c r="A55" s="94"/>
      <c r="B55" s="25" t="s">
        <v>115</v>
      </c>
      <c r="C55" s="23" t="s">
        <v>109</v>
      </c>
      <c r="D55" s="17" t="s">
        <v>116</v>
      </c>
      <c r="E55" s="17" t="s">
        <v>117</v>
      </c>
      <c r="F55" s="17">
        <v>120</v>
      </c>
      <c r="G55" s="84" t="s">
        <v>226</v>
      </c>
      <c r="H55" s="85"/>
      <c r="I55" s="103"/>
      <c r="J55" s="46" t="s">
        <v>34</v>
      </c>
      <c r="K55" s="9"/>
      <c r="L55" s="9"/>
      <c r="M55" s="9"/>
      <c r="N55" s="26"/>
      <c r="O55" s="46"/>
      <c r="P55" s="45"/>
      <c r="Q55" s="11"/>
    </row>
    <row r="56" spans="1:18" ht="12.75" customHeight="1">
      <c r="A56" s="4" t="s">
        <v>118</v>
      </c>
      <c r="B56" s="4" t="s">
        <v>119</v>
      </c>
      <c r="C56" s="5" t="s">
        <v>120</v>
      </c>
      <c r="D56" s="17" t="s">
        <v>121</v>
      </c>
      <c r="E56" s="17" t="s">
        <v>122</v>
      </c>
      <c r="F56" s="28">
        <v>0.1</v>
      </c>
      <c r="G56" s="84" t="s">
        <v>209</v>
      </c>
      <c r="H56" s="85"/>
      <c r="I56" s="46" t="s">
        <v>145</v>
      </c>
      <c r="J56" s="46" t="s">
        <v>34</v>
      </c>
      <c r="K56" s="46"/>
      <c r="L56" s="9"/>
      <c r="M56" s="46"/>
      <c r="N56" s="29"/>
      <c r="O56" s="39"/>
    </row>
    <row r="57" spans="1:18" s="11" customFormat="1" ht="12.75" customHeight="1">
      <c r="A57" s="4" t="s">
        <v>123</v>
      </c>
      <c r="B57" s="21" t="s">
        <v>91</v>
      </c>
      <c r="C57" s="5" t="s">
        <v>124</v>
      </c>
      <c r="D57" s="17" t="s">
        <v>125</v>
      </c>
      <c r="E57" s="17" t="s">
        <v>126</v>
      </c>
      <c r="F57" s="28">
        <v>0.1</v>
      </c>
      <c r="G57" s="84" t="s">
        <v>151</v>
      </c>
      <c r="H57" s="85"/>
      <c r="I57" s="46" t="s">
        <v>145</v>
      </c>
      <c r="J57" s="46" t="s">
        <v>34</v>
      </c>
      <c r="K57" s="46"/>
      <c r="L57" s="46"/>
      <c r="M57" s="46"/>
      <c r="N57" s="50"/>
      <c r="O57" s="37"/>
      <c r="P57" s="43" t="s">
        <v>147</v>
      </c>
    </row>
    <row r="58" spans="1:18" s="11" customFormat="1" ht="12.75" customHeight="1">
      <c r="A58" s="4" t="s">
        <v>168</v>
      </c>
      <c r="B58" s="21" t="s">
        <v>91</v>
      </c>
      <c r="C58" s="5" t="s">
        <v>124</v>
      </c>
      <c r="D58" s="17" t="s">
        <v>125</v>
      </c>
      <c r="E58" s="17" t="s">
        <v>126</v>
      </c>
      <c r="F58" s="28">
        <v>0.1</v>
      </c>
      <c r="G58" s="84" t="s">
        <v>165</v>
      </c>
      <c r="H58" s="85"/>
      <c r="I58" s="46" t="s">
        <v>145</v>
      </c>
      <c r="J58" s="46" t="s">
        <v>34</v>
      </c>
      <c r="K58" s="46"/>
      <c r="L58" s="46"/>
      <c r="M58" s="46"/>
      <c r="N58" s="50"/>
      <c r="O58" s="37"/>
      <c r="P58" s="43" t="s">
        <v>147</v>
      </c>
    </row>
    <row r="59" spans="1:18" ht="12.75" customHeight="1">
      <c r="A59" s="4" t="s">
        <v>133</v>
      </c>
      <c r="B59" s="21" t="s">
        <v>91</v>
      </c>
      <c r="C59" s="5" t="s">
        <v>124</v>
      </c>
      <c r="D59" s="17" t="s">
        <v>162</v>
      </c>
      <c r="E59" s="17" t="s">
        <v>163</v>
      </c>
      <c r="F59" s="28">
        <v>0.02</v>
      </c>
      <c r="G59" s="84" t="s">
        <v>161</v>
      </c>
      <c r="H59" s="85"/>
      <c r="I59" s="46" t="s">
        <v>145</v>
      </c>
      <c r="J59" s="46" t="s">
        <v>34</v>
      </c>
      <c r="K59" s="46"/>
      <c r="L59" s="46"/>
      <c r="M59" s="46"/>
      <c r="N59" s="24"/>
      <c r="O59" s="39"/>
    </row>
    <row r="60" spans="1:18" ht="12.75" customHeight="1">
      <c r="A60" s="107" t="s">
        <v>127</v>
      </c>
      <c r="B60" s="108"/>
      <c r="C60" s="108"/>
      <c r="D60" s="108"/>
      <c r="E60" s="27"/>
      <c r="G60" s="42"/>
      <c r="H60" s="30"/>
      <c r="I60" s="31"/>
      <c r="J60" s="32"/>
      <c r="K60" s="33"/>
      <c r="L60" s="47"/>
      <c r="O60" s="49"/>
    </row>
    <row r="61" spans="1:18" ht="12.75" customHeight="1">
      <c r="A61" s="1" t="s">
        <v>128</v>
      </c>
      <c r="B61" s="1"/>
      <c r="C61" s="1"/>
      <c r="G61" s="34"/>
      <c r="H61" s="34" t="s">
        <v>129</v>
      </c>
      <c r="I61" s="31"/>
      <c r="J61" s="33"/>
      <c r="K61" s="33"/>
      <c r="L61" s="35" t="s">
        <v>130</v>
      </c>
      <c r="M61" s="3" t="s">
        <v>131</v>
      </c>
      <c r="O61" s="49"/>
    </row>
    <row r="62" spans="1:18" ht="14.85" customHeight="1">
      <c r="L62" s="47"/>
      <c r="O62" s="49"/>
    </row>
  </sheetData>
  <mergeCells count="82">
    <mergeCell ref="G56:H56"/>
    <mergeCell ref="G57:H57"/>
    <mergeCell ref="G58:H58"/>
    <mergeCell ref="G59:H59"/>
    <mergeCell ref="A60:D60"/>
    <mergeCell ref="A52:A53"/>
    <mergeCell ref="G52:H52"/>
    <mergeCell ref="I52:I53"/>
    <mergeCell ref="G53:H53"/>
    <mergeCell ref="P53:P54"/>
    <mergeCell ref="A54:A55"/>
    <mergeCell ref="G54:H54"/>
    <mergeCell ref="I54:I55"/>
    <mergeCell ref="G55:H55"/>
    <mergeCell ref="A40:A43"/>
    <mergeCell ref="I40:I43"/>
    <mergeCell ref="G41:H41"/>
    <mergeCell ref="G42:H42"/>
    <mergeCell ref="A48:A51"/>
    <mergeCell ref="I48:I51"/>
    <mergeCell ref="G49:H49"/>
    <mergeCell ref="G50:H50"/>
    <mergeCell ref="G51:H51"/>
    <mergeCell ref="A44:A47"/>
    <mergeCell ref="I44:I47"/>
    <mergeCell ref="G45:H45"/>
    <mergeCell ref="G46:H46"/>
    <mergeCell ref="G47:H47"/>
    <mergeCell ref="I29:I32"/>
    <mergeCell ref="G30:H30"/>
    <mergeCell ref="G31:H31"/>
    <mergeCell ref="A36:A39"/>
    <mergeCell ref="I36:I39"/>
    <mergeCell ref="G37:H37"/>
    <mergeCell ref="G38:H38"/>
    <mergeCell ref="A33:A35"/>
    <mergeCell ref="G33:H33"/>
    <mergeCell ref="I33:I35"/>
    <mergeCell ref="G35:H35"/>
    <mergeCell ref="A29:A32"/>
    <mergeCell ref="G29:H29"/>
    <mergeCell ref="A21:A24"/>
    <mergeCell ref="G21:H21"/>
    <mergeCell ref="I21:I24"/>
    <mergeCell ref="G22:H22"/>
    <mergeCell ref="G23:H23"/>
    <mergeCell ref="A25:A28"/>
    <mergeCell ref="G25:H25"/>
    <mergeCell ref="I25:I28"/>
    <mergeCell ref="G26:H26"/>
    <mergeCell ref="G27:H27"/>
    <mergeCell ref="A18:A20"/>
    <mergeCell ref="G18:H18"/>
    <mergeCell ref="I18:I20"/>
    <mergeCell ref="G19:H19"/>
    <mergeCell ref="G9:H9"/>
    <mergeCell ref="G10:H10"/>
    <mergeCell ref="G11:H11"/>
    <mergeCell ref="G12:H12"/>
    <mergeCell ref="A13:A14"/>
    <mergeCell ref="G13:H13"/>
    <mergeCell ref="I13:I14"/>
    <mergeCell ref="A15:A17"/>
    <mergeCell ref="G15:H15"/>
    <mergeCell ref="I15:I17"/>
    <mergeCell ref="G16:H16"/>
    <mergeCell ref="G8:H8"/>
    <mergeCell ref="A1:O2"/>
    <mergeCell ref="A3:N3"/>
    <mergeCell ref="N4:O4"/>
    <mergeCell ref="A5:A6"/>
    <mergeCell ref="B5:B6"/>
    <mergeCell ref="C5:C6"/>
    <mergeCell ref="D5:D6"/>
    <mergeCell ref="E5:E6"/>
    <mergeCell ref="F5:F6"/>
    <mergeCell ref="G5:H5"/>
    <mergeCell ref="I5:I6"/>
    <mergeCell ref="K5:L5"/>
    <mergeCell ref="M5:N5"/>
    <mergeCell ref="O5:O6"/>
    <mergeCell ref="G7:H7"/>
  </mergeCells>
  <phoneticPr fontId="1" type="noConversion"/>
  <pageMargins left="0.5" right="0.08" top="0.22" bottom="0.19" header="0.12" footer="0.21"/>
  <pageSetup paperSize="9" scale="96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2"/>
  <sheetViews>
    <sheetView workbookViewId="0">
      <selection activeCell="S39" sqref="S37:S39"/>
    </sheetView>
  </sheetViews>
  <sheetFormatPr defaultColWidth="8" defaultRowHeight="14.85" customHeight="1"/>
  <cols>
    <col min="1" max="1" width="8.25" style="57" customWidth="1"/>
    <col min="2" max="2" width="8.125" style="57" customWidth="1"/>
    <col min="3" max="3" width="4.5" style="57" customWidth="1"/>
    <col min="4" max="4" width="8.25" style="57" customWidth="1"/>
    <col min="5" max="5" width="8.375" style="57" customWidth="1"/>
    <col min="6" max="6" width="5.75" style="57" customWidth="1"/>
    <col min="7" max="7" width="5.25" style="58" customWidth="1"/>
    <col min="8" max="8" width="5" style="58" customWidth="1"/>
    <col min="9" max="9" width="7.25" style="58" customWidth="1"/>
    <col min="10" max="10" width="5.25" style="56" customWidth="1"/>
    <col min="11" max="12" width="5.25" style="58" customWidth="1"/>
    <col min="13" max="14" width="5.25" style="56" customWidth="1"/>
    <col min="15" max="15" width="5.5" style="56" customWidth="1"/>
    <col min="16" max="16384" width="8" style="57"/>
  </cols>
  <sheetData>
    <row r="1" spans="1:21" ht="10.5" customHeight="1">
      <c r="A1" s="86"/>
      <c r="B1" s="86"/>
      <c r="C1" s="86"/>
      <c r="D1" s="86"/>
      <c r="E1" s="86"/>
      <c r="F1" s="86"/>
      <c r="G1" s="87"/>
      <c r="H1" s="87"/>
      <c r="I1" s="87"/>
      <c r="J1" s="87"/>
      <c r="K1" s="87"/>
      <c r="L1" s="87"/>
      <c r="M1" s="87"/>
      <c r="N1" s="87"/>
      <c r="O1" s="87"/>
    </row>
    <row r="2" spans="1:21" ht="15.75" customHeight="1">
      <c r="A2" s="86"/>
      <c r="B2" s="86"/>
      <c r="C2" s="86"/>
      <c r="D2" s="86"/>
      <c r="E2" s="86"/>
      <c r="F2" s="86"/>
      <c r="G2" s="87"/>
      <c r="H2" s="87"/>
      <c r="I2" s="87"/>
      <c r="J2" s="87"/>
      <c r="K2" s="87"/>
      <c r="L2" s="87"/>
      <c r="M2" s="87"/>
      <c r="N2" s="87"/>
      <c r="O2" s="87"/>
    </row>
    <row r="3" spans="1:21" ht="15" customHeight="1">
      <c r="A3" s="88" t="s">
        <v>0</v>
      </c>
      <c r="B3" s="88"/>
      <c r="C3" s="88"/>
      <c r="D3" s="88"/>
      <c r="E3" s="88"/>
      <c r="F3" s="88"/>
      <c r="G3" s="89"/>
      <c r="H3" s="89"/>
      <c r="I3" s="89"/>
      <c r="J3" s="89"/>
      <c r="K3" s="89"/>
      <c r="L3" s="89"/>
      <c r="M3" s="89"/>
      <c r="N3" s="89"/>
      <c r="O3" s="58"/>
    </row>
    <row r="4" spans="1:21" ht="12.75" customHeight="1">
      <c r="A4" s="1" t="s">
        <v>1</v>
      </c>
      <c r="K4" s="2"/>
      <c r="L4" s="2"/>
      <c r="M4" s="3" t="s">
        <v>2</v>
      </c>
      <c r="N4" s="90" t="s">
        <v>251</v>
      </c>
      <c r="O4" s="90"/>
    </row>
    <row r="5" spans="1:21" ht="15" customHeight="1">
      <c r="A5" s="91" t="s">
        <v>3</v>
      </c>
      <c r="B5" s="91" t="s">
        <v>4</v>
      </c>
      <c r="C5" s="91" t="s">
        <v>5</v>
      </c>
      <c r="D5" s="91" t="s">
        <v>6</v>
      </c>
      <c r="E5" s="91" t="s">
        <v>7</v>
      </c>
      <c r="F5" s="93" t="s">
        <v>8</v>
      </c>
      <c r="G5" s="95" t="s">
        <v>9</v>
      </c>
      <c r="H5" s="95"/>
      <c r="I5" s="96" t="s">
        <v>10</v>
      </c>
      <c r="J5" s="60"/>
      <c r="K5" s="95" t="s">
        <v>11</v>
      </c>
      <c r="L5" s="95"/>
      <c r="M5" s="98" t="s">
        <v>12</v>
      </c>
      <c r="N5" s="99"/>
      <c r="O5" s="96" t="s">
        <v>13</v>
      </c>
    </row>
    <row r="6" spans="1:21" ht="15" customHeight="1">
      <c r="A6" s="92"/>
      <c r="B6" s="92"/>
      <c r="C6" s="92"/>
      <c r="D6" s="92"/>
      <c r="E6" s="92"/>
      <c r="F6" s="94"/>
      <c r="G6" s="59" t="s">
        <v>170</v>
      </c>
      <c r="H6" s="59" t="s">
        <v>15</v>
      </c>
      <c r="I6" s="97"/>
      <c r="J6" s="59" t="s">
        <v>5</v>
      </c>
      <c r="K6" s="59" t="s">
        <v>14</v>
      </c>
      <c r="L6" s="59" t="s">
        <v>15</v>
      </c>
      <c r="M6" s="59" t="s">
        <v>14</v>
      </c>
      <c r="N6" s="59" t="s">
        <v>15</v>
      </c>
      <c r="O6" s="97"/>
    </row>
    <row r="7" spans="1:21" s="11" customFormat="1" ht="12.75" customHeight="1">
      <c r="A7" s="4" t="s">
        <v>135</v>
      </c>
      <c r="B7" s="4" t="s">
        <v>16</v>
      </c>
      <c r="C7" s="5" t="s">
        <v>17</v>
      </c>
      <c r="D7" s="6" t="s">
        <v>18</v>
      </c>
      <c r="E7" s="6" t="s">
        <v>19</v>
      </c>
      <c r="F7" s="7">
        <v>11</v>
      </c>
      <c r="G7" s="84" t="s">
        <v>227</v>
      </c>
      <c r="H7" s="85"/>
      <c r="I7" s="61" t="s">
        <v>136</v>
      </c>
      <c r="J7" s="61" t="s">
        <v>20</v>
      </c>
      <c r="K7" s="61"/>
      <c r="L7" s="61"/>
      <c r="M7" s="61"/>
      <c r="N7" s="61"/>
      <c r="O7" s="59"/>
      <c r="U7" s="11" t="s">
        <v>21</v>
      </c>
    </row>
    <row r="8" spans="1:21" s="11" customFormat="1" ht="12.75" customHeight="1">
      <c r="A8" s="4" t="s">
        <v>22</v>
      </c>
      <c r="B8" s="4" t="s">
        <v>16</v>
      </c>
      <c r="C8" s="5" t="s">
        <v>17</v>
      </c>
      <c r="D8" s="6" t="s">
        <v>18</v>
      </c>
      <c r="E8" s="6" t="s">
        <v>19</v>
      </c>
      <c r="F8" s="7">
        <v>11</v>
      </c>
      <c r="G8" s="84" t="s">
        <v>209</v>
      </c>
      <c r="H8" s="85"/>
      <c r="I8" s="61" t="s">
        <v>136</v>
      </c>
      <c r="J8" s="61" t="s">
        <v>20</v>
      </c>
      <c r="K8" s="36"/>
      <c r="L8" s="61"/>
      <c r="M8" s="61"/>
      <c r="N8" s="61"/>
      <c r="O8" s="59"/>
    </row>
    <row r="9" spans="1:21" s="11" customFormat="1" ht="12.75" customHeight="1">
      <c r="A9" s="4" t="s">
        <v>23</v>
      </c>
      <c r="B9" s="4" t="s">
        <v>16</v>
      </c>
      <c r="C9" s="5" t="s">
        <v>17</v>
      </c>
      <c r="D9" s="6" t="s">
        <v>18</v>
      </c>
      <c r="E9" s="6" t="s">
        <v>19</v>
      </c>
      <c r="F9" s="7">
        <v>11</v>
      </c>
      <c r="G9" s="84" t="s">
        <v>183</v>
      </c>
      <c r="H9" s="85"/>
      <c r="I9" s="61" t="s">
        <v>136</v>
      </c>
      <c r="J9" s="61" t="s">
        <v>20</v>
      </c>
      <c r="K9" s="61"/>
      <c r="L9" s="61"/>
      <c r="M9" s="61"/>
      <c r="N9" s="61"/>
      <c r="O9" s="59"/>
    </row>
    <row r="10" spans="1:21" s="11" customFormat="1" ht="12.75" customHeight="1">
      <c r="A10" s="4" t="s">
        <v>24</v>
      </c>
      <c r="B10" s="4" t="s">
        <v>16</v>
      </c>
      <c r="C10" s="5" t="s">
        <v>17</v>
      </c>
      <c r="D10" s="6" t="s">
        <v>25</v>
      </c>
      <c r="E10" s="6" t="s">
        <v>19</v>
      </c>
      <c r="F10" s="7">
        <v>11</v>
      </c>
      <c r="G10" s="84" t="s">
        <v>176</v>
      </c>
      <c r="H10" s="85"/>
      <c r="I10" s="61" t="s">
        <v>136</v>
      </c>
      <c r="J10" s="61" t="s">
        <v>20</v>
      </c>
      <c r="K10" s="61"/>
      <c r="L10" s="61"/>
      <c r="M10" s="61"/>
      <c r="N10" s="61"/>
      <c r="O10" s="59"/>
    </row>
    <row r="11" spans="1:21" s="11" customFormat="1" ht="12.75" customHeight="1">
      <c r="A11" s="4" t="s">
        <v>26</v>
      </c>
      <c r="B11" s="4">
        <v>7025</v>
      </c>
      <c r="C11" s="12" t="s">
        <v>27</v>
      </c>
      <c r="D11" s="13" t="s">
        <v>28</v>
      </c>
      <c r="E11" s="13" t="s">
        <v>29</v>
      </c>
      <c r="F11" s="14">
        <v>0.3</v>
      </c>
      <c r="G11" s="84" t="s">
        <v>198</v>
      </c>
      <c r="H11" s="85"/>
      <c r="I11" s="61" t="s">
        <v>145</v>
      </c>
      <c r="J11" s="61" t="s">
        <v>60</v>
      </c>
      <c r="K11" s="61"/>
      <c r="L11" s="61"/>
      <c r="M11" s="61"/>
      <c r="N11" s="61"/>
      <c r="O11" s="59"/>
      <c r="P11" s="10"/>
    </row>
    <row r="12" spans="1:21" s="11" customFormat="1" ht="12.75" customHeight="1">
      <c r="A12" s="4" t="s">
        <v>30</v>
      </c>
      <c r="B12" s="4" t="s">
        <v>31</v>
      </c>
      <c r="C12" s="5" t="s">
        <v>17</v>
      </c>
      <c r="D12" s="13" t="s">
        <v>32</v>
      </c>
      <c r="E12" s="13" t="s">
        <v>33</v>
      </c>
      <c r="F12" s="15">
        <v>13</v>
      </c>
      <c r="G12" s="84" t="s">
        <v>213</v>
      </c>
      <c r="H12" s="85"/>
      <c r="I12" s="61" t="s">
        <v>136</v>
      </c>
      <c r="J12" s="61" t="s">
        <v>60</v>
      </c>
      <c r="K12" s="61"/>
      <c r="L12" s="61"/>
      <c r="M12" s="61"/>
      <c r="N12" s="61"/>
      <c r="O12" s="59"/>
    </row>
    <row r="13" spans="1:21" s="11" customFormat="1" ht="12.75" customHeight="1">
      <c r="A13" s="93" t="s">
        <v>132</v>
      </c>
      <c r="B13" s="16" t="s">
        <v>35</v>
      </c>
      <c r="C13" s="12" t="s">
        <v>36</v>
      </c>
      <c r="D13" s="17" t="s">
        <v>37</v>
      </c>
      <c r="E13" s="7" t="s">
        <v>37</v>
      </c>
      <c r="F13" s="17">
        <v>50</v>
      </c>
      <c r="G13" s="84" t="s">
        <v>202</v>
      </c>
      <c r="H13" s="85"/>
      <c r="I13" s="101" t="s">
        <v>136</v>
      </c>
      <c r="J13" s="61" t="s">
        <v>60</v>
      </c>
      <c r="K13" s="61" t="s">
        <v>191</v>
      </c>
      <c r="L13" s="61"/>
      <c r="M13" s="61" t="s">
        <v>228</v>
      </c>
      <c r="N13" s="61"/>
      <c r="O13" s="59"/>
    </row>
    <row r="14" spans="1:21" s="11" customFormat="1" ht="12.75" customHeight="1">
      <c r="A14" s="94"/>
      <c r="B14" s="16" t="s">
        <v>38</v>
      </c>
      <c r="C14" s="18" t="s">
        <v>39</v>
      </c>
      <c r="D14" s="17" t="s">
        <v>40</v>
      </c>
      <c r="E14" s="7" t="s">
        <v>40</v>
      </c>
      <c r="F14" s="7"/>
      <c r="G14" s="61" t="s">
        <v>229</v>
      </c>
      <c r="H14" s="8" t="s">
        <v>245</v>
      </c>
      <c r="I14" s="103"/>
      <c r="J14" s="61" t="s">
        <v>60</v>
      </c>
      <c r="K14" s="61"/>
      <c r="L14" s="61"/>
      <c r="M14" s="61"/>
      <c r="N14" s="61"/>
      <c r="O14" s="59"/>
    </row>
    <row r="15" spans="1:21" s="11" customFormat="1" ht="12.75" customHeight="1">
      <c r="A15" s="93" t="s">
        <v>41</v>
      </c>
      <c r="B15" s="16" t="s">
        <v>35</v>
      </c>
      <c r="C15" s="12" t="s">
        <v>36</v>
      </c>
      <c r="D15" s="17" t="s">
        <v>42</v>
      </c>
      <c r="E15" s="7" t="s">
        <v>43</v>
      </c>
      <c r="F15" s="17">
        <v>90</v>
      </c>
      <c r="G15" s="84" t="s">
        <v>199</v>
      </c>
      <c r="H15" s="85"/>
      <c r="I15" s="101" t="s">
        <v>137</v>
      </c>
      <c r="J15" s="61" t="s">
        <v>60</v>
      </c>
      <c r="K15" s="61"/>
      <c r="L15" s="61"/>
      <c r="M15" s="61"/>
      <c r="N15" s="61"/>
      <c r="O15" s="59"/>
    </row>
    <row r="16" spans="1:21" s="11" customFormat="1" ht="12.75" customHeight="1">
      <c r="A16" s="100"/>
      <c r="B16" s="16" t="s">
        <v>44</v>
      </c>
      <c r="C16" s="12" t="s">
        <v>36</v>
      </c>
      <c r="D16" s="17" t="s">
        <v>45</v>
      </c>
      <c r="E16" s="7" t="s">
        <v>46</v>
      </c>
      <c r="F16" s="17">
        <v>40</v>
      </c>
      <c r="G16" s="84" t="s">
        <v>188</v>
      </c>
      <c r="H16" s="85"/>
      <c r="I16" s="102"/>
      <c r="J16" s="61" t="s">
        <v>20</v>
      </c>
      <c r="K16" s="61"/>
      <c r="L16" s="61"/>
      <c r="M16" s="61"/>
      <c r="N16" s="61"/>
      <c r="O16" s="59"/>
    </row>
    <row r="17" spans="1:17" s="11" customFormat="1" ht="12.75" customHeight="1">
      <c r="A17" s="94"/>
      <c r="B17" s="16" t="s">
        <v>38</v>
      </c>
      <c r="C17" s="18" t="s">
        <v>39</v>
      </c>
      <c r="D17" s="17" t="s">
        <v>47</v>
      </c>
      <c r="E17" s="7" t="s">
        <v>48</v>
      </c>
      <c r="F17" s="17">
        <v>2</v>
      </c>
      <c r="G17" s="61" t="s">
        <v>230</v>
      </c>
      <c r="H17" s="8" t="s">
        <v>194</v>
      </c>
      <c r="I17" s="103"/>
      <c r="J17" s="61" t="s">
        <v>20</v>
      </c>
      <c r="K17" s="61"/>
      <c r="L17" s="61"/>
      <c r="M17" s="61"/>
      <c r="N17" s="61"/>
      <c r="O17" s="59"/>
    </row>
    <row r="18" spans="1:17" s="11" customFormat="1" ht="12.75" customHeight="1">
      <c r="A18" s="93" t="s">
        <v>49</v>
      </c>
      <c r="B18" s="16" t="s">
        <v>35</v>
      </c>
      <c r="C18" s="12" t="s">
        <v>36</v>
      </c>
      <c r="D18" s="17" t="s">
        <v>42</v>
      </c>
      <c r="E18" s="7" t="s">
        <v>43</v>
      </c>
      <c r="F18" s="17">
        <v>90</v>
      </c>
      <c r="G18" s="84" t="s">
        <v>231</v>
      </c>
      <c r="H18" s="85"/>
      <c r="I18" s="101" t="s">
        <v>138</v>
      </c>
      <c r="J18" s="61" t="s">
        <v>60</v>
      </c>
      <c r="K18" s="61"/>
      <c r="L18" s="61"/>
      <c r="M18" s="61"/>
      <c r="N18" s="61"/>
      <c r="O18" s="59"/>
    </row>
    <row r="19" spans="1:17" s="11" customFormat="1" ht="12.75" customHeight="1">
      <c r="A19" s="100"/>
      <c r="B19" s="16" t="s">
        <v>44</v>
      </c>
      <c r="C19" s="12" t="s">
        <v>36</v>
      </c>
      <c r="D19" s="17" t="s">
        <v>45</v>
      </c>
      <c r="E19" s="17" t="s">
        <v>46</v>
      </c>
      <c r="F19" s="17">
        <v>40</v>
      </c>
      <c r="G19" s="84" t="s">
        <v>232</v>
      </c>
      <c r="H19" s="85"/>
      <c r="I19" s="102"/>
      <c r="J19" s="61" t="s">
        <v>20</v>
      </c>
      <c r="K19" s="61" t="s">
        <v>233</v>
      </c>
      <c r="L19" s="61"/>
      <c r="M19" s="61" t="s">
        <v>234</v>
      </c>
      <c r="N19" s="61"/>
      <c r="O19" s="59"/>
    </row>
    <row r="20" spans="1:17" s="11" customFormat="1" ht="12.75" customHeight="1">
      <c r="A20" s="94"/>
      <c r="B20" s="16" t="s">
        <v>38</v>
      </c>
      <c r="C20" s="18" t="s">
        <v>39</v>
      </c>
      <c r="D20" s="17" t="s">
        <v>47</v>
      </c>
      <c r="E20" s="17" t="s">
        <v>48</v>
      </c>
      <c r="F20" s="17">
        <v>2</v>
      </c>
      <c r="G20" s="61" t="s">
        <v>184</v>
      </c>
      <c r="H20" s="8" t="s">
        <v>230</v>
      </c>
      <c r="I20" s="103"/>
      <c r="J20" s="61" t="s">
        <v>20</v>
      </c>
      <c r="K20" s="61"/>
      <c r="L20" s="61"/>
      <c r="M20" s="61"/>
      <c r="N20" s="61"/>
      <c r="O20" s="59"/>
    </row>
    <row r="21" spans="1:17" s="11" customFormat="1" ht="12.75" customHeight="1">
      <c r="A21" s="104" t="s">
        <v>50</v>
      </c>
      <c r="B21" s="16" t="s">
        <v>35</v>
      </c>
      <c r="C21" s="12" t="s">
        <v>36</v>
      </c>
      <c r="D21" s="17" t="s">
        <v>42</v>
      </c>
      <c r="E21" s="17" t="s">
        <v>51</v>
      </c>
      <c r="F21" s="17">
        <v>90</v>
      </c>
      <c r="G21" s="84" t="s">
        <v>178</v>
      </c>
      <c r="H21" s="85"/>
      <c r="I21" s="101" t="s">
        <v>139</v>
      </c>
      <c r="J21" s="61" t="s">
        <v>60</v>
      </c>
      <c r="K21" s="61"/>
      <c r="L21" s="61"/>
      <c r="M21" s="61"/>
      <c r="N21" s="59"/>
      <c r="O21" s="37"/>
    </row>
    <row r="22" spans="1:17" s="11" customFormat="1" ht="12.75" customHeight="1">
      <c r="A22" s="104"/>
      <c r="B22" s="16" t="s">
        <v>52</v>
      </c>
      <c r="C22" s="12" t="s">
        <v>36</v>
      </c>
      <c r="D22" s="61" t="s">
        <v>53</v>
      </c>
      <c r="E22" s="61" t="s">
        <v>54</v>
      </c>
      <c r="F22" s="17">
        <v>10</v>
      </c>
      <c r="G22" s="84" t="s">
        <v>185</v>
      </c>
      <c r="H22" s="85"/>
      <c r="I22" s="102"/>
      <c r="J22" s="61" t="s">
        <v>20</v>
      </c>
      <c r="K22" s="61"/>
      <c r="L22" s="61"/>
      <c r="M22" s="61"/>
      <c r="N22" s="59"/>
      <c r="O22" s="37"/>
      <c r="Q22" s="43" t="s">
        <v>148</v>
      </c>
    </row>
    <row r="23" spans="1:17" s="11" customFormat="1" ht="12.75" customHeight="1">
      <c r="A23" s="104"/>
      <c r="B23" s="16" t="s">
        <v>44</v>
      </c>
      <c r="C23" s="12" t="s">
        <v>36</v>
      </c>
      <c r="D23" s="17" t="s">
        <v>45</v>
      </c>
      <c r="E23" s="17" t="s">
        <v>46</v>
      </c>
      <c r="F23" s="17">
        <v>40</v>
      </c>
      <c r="G23" s="84" t="s">
        <v>174</v>
      </c>
      <c r="H23" s="85"/>
      <c r="I23" s="102"/>
      <c r="J23" s="61" t="s">
        <v>20</v>
      </c>
      <c r="K23" s="61"/>
      <c r="L23" s="61"/>
      <c r="M23" s="61"/>
      <c r="N23" s="59"/>
      <c r="O23" s="38"/>
    </row>
    <row r="24" spans="1:17" s="11" customFormat="1" ht="12.75" customHeight="1">
      <c r="A24" s="104"/>
      <c r="B24" s="16" t="s">
        <v>38</v>
      </c>
      <c r="C24" s="18" t="s">
        <v>39</v>
      </c>
      <c r="D24" s="17" t="s">
        <v>55</v>
      </c>
      <c r="E24" s="17" t="s">
        <v>56</v>
      </c>
      <c r="F24" s="19">
        <v>4.2</v>
      </c>
      <c r="G24" s="61" t="s">
        <v>177</v>
      </c>
      <c r="H24" s="8" t="s">
        <v>160</v>
      </c>
      <c r="I24" s="103"/>
      <c r="J24" s="61" t="s">
        <v>20</v>
      </c>
      <c r="K24" s="61"/>
      <c r="L24" s="61"/>
      <c r="M24" s="61"/>
      <c r="N24" s="59"/>
      <c r="O24" s="37"/>
    </row>
    <row r="25" spans="1:17" s="11" customFormat="1" ht="12.75" customHeight="1">
      <c r="A25" s="104" t="s">
        <v>57</v>
      </c>
      <c r="B25" s="16" t="s">
        <v>35</v>
      </c>
      <c r="C25" s="12" t="s">
        <v>36</v>
      </c>
      <c r="D25" s="17" t="s">
        <v>42</v>
      </c>
      <c r="E25" s="17" t="s">
        <v>51</v>
      </c>
      <c r="F25" s="17">
        <v>90</v>
      </c>
      <c r="G25" s="84" t="s">
        <v>173</v>
      </c>
      <c r="H25" s="85"/>
      <c r="I25" s="101" t="s">
        <v>140</v>
      </c>
      <c r="J25" s="61" t="s">
        <v>60</v>
      </c>
      <c r="K25" s="61"/>
      <c r="L25" s="61"/>
      <c r="M25" s="61"/>
      <c r="N25" s="59"/>
      <c r="O25" s="37"/>
    </row>
    <row r="26" spans="1:17" s="11" customFormat="1" ht="12.75" customHeight="1">
      <c r="A26" s="104"/>
      <c r="B26" s="16" t="s">
        <v>52</v>
      </c>
      <c r="C26" s="12" t="s">
        <v>36</v>
      </c>
      <c r="D26" s="61" t="s">
        <v>58</v>
      </c>
      <c r="E26" s="61" t="s">
        <v>54</v>
      </c>
      <c r="F26" s="17">
        <v>10</v>
      </c>
      <c r="G26" s="84" t="s">
        <v>189</v>
      </c>
      <c r="H26" s="85"/>
      <c r="I26" s="102"/>
      <c r="J26" s="61" t="s">
        <v>20</v>
      </c>
      <c r="K26" s="61"/>
      <c r="L26" s="61"/>
      <c r="M26" s="61"/>
      <c r="N26" s="59"/>
      <c r="O26" s="37"/>
    </row>
    <row r="27" spans="1:17" s="11" customFormat="1" ht="12.75" customHeight="1">
      <c r="A27" s="104"/>
      <c r="B27" s="16" t="s">
        <v>44</v>
      </c>
      <c r="C27" s="12" t="s">
        <v>36</v>
      </c>
      <c r="D27" s="17" t="s">
        <v>45</v>
      </c>
      <c r="E27" s="17" t="s">
        <v>46</v>
      </c>
      <c r="F27" s="17">
        <v>40</v>
      </c>
      <c r="G27" s="84" t="s">
        <v>134</v>
      </c>
      <c r="H27" s="85"/>
      <c r="I27" s="102"/>
      <c r="J27" s="61" t="s">
        <v>20</v>
      </c>
      <c r="K27" s="61"/>
      <c r="L27" s="61"/>
      <c r="M27" s="61"/>
      <c r="N27" s="59"/>
      <c r="O27" s="37"/>
    </row>
    <row r="28" spans="1:17" s="11" customFormat="1" ht="12.75" customHeight="1">
      <c r="A28" s="104"/>
      <c r="B28" s="16" t="s">
        <v>38</v>
      </c>
      <c r="C28" s="18" t="s">
        <v>39</v>
      </c>
      <c r="D28" s="17" t="s">
        <v>55</v>
      </c>
      <c r="E28" s="17" t="s">
        <v>56</v>
      </c>
      <c r="F28" s="19">
        <v>4.2</v>
      </c>
      <c r="G28" s="61" t="s">
        <v>160</v>
      </c>
      <c r="H28" s="8" t="s">
        <v>154</v>
      </c>
      <c r="I28" s="103"/>
      <c r="J28" s="61" t="s">
        <v>20</v>
      </c>
      <c r="K28" s="61"/>
      <c r="L28" s="61"/>
      <c r="M28" s="61"/>
      <c r="N28" s="59"/>
      <c r="O28" s="37"/>
    </row>
    <row r="29" spans="1:17" s="11" customFormat="1" ht="12.75" customHeight="1">
      <c r="A29" s="104" t="s">
        <v>59</v>
      </c>
      <c r="B29" s="16" t="s">
        <v>35</v>
      </c>
      <c r="C29" s="12" t="s">
        <v>36</v>
      </c>
      <c r="D29" s="17" t="s">
        <v>42</v>
      </c>
      <c r="E29" s="17" t="s">
        <v>51</v>
      </c>
      <c r="F29" s="17">
        <v>90</v>
      </c>
      <c r="G29" s="84" t="s">
        <v>235</v>
      </c>
      <c r="H29" s="85"/>
      <c r="I29" s="101" t="s">
        <v>141</v>
      </c>
      <c r="J29" s="61" t="s">
        <v>60</v>
      </c>
      <c r="K29" s="61"/>
      <c r="L29" s="61"/>
      <c r="M29" s="61"/>
      <c r="N29" s="59"/>
      <c r="O29" s="41"/>
    </row>
    <row r="30" spans="1:17" s="11" customFormat="1" ht="12.75" customHeight="1">
      <c r="A30" s="104"/>
      <c r="B30" s="16" t="s">
        <v>52</v>
      </c>
      <c r="C30" s="12" t="s">
        <v>36</v>
      </c>
      <c r="D30" s="61" t="s">
        <v>58</v>
      </c>
      <c r="E30" s="61" t="s">
        <v>54</v>
      </c>
      <c r="F30" s="17">
        <v>10</v>
      </c>
      <c r="G30" s="84" t="s">
        <v>236</v>
      </c>
      <c r="H30" s="85"/>
      <c r="I30" s="102"/>
      <c r="J30" s="61" t="s">
        <v>20</v>
      </c>
      <c r="K30" s="61"/>
      <c r="L30" s="61"/>
      <c r="M30" s="61"/>
      <c r="N30" s="59"/>
      <c r="O30" s="37"/>
    </row>
    <row r="31" spans="1:17" s="11" customFormat="1" ht="12.75" customHeight="1">
      <c r="A31" s="104"/>
      <c r="B31" s="16" t="s">
        <v>44</v>
      </c>
      <c r="C31" s="12" t="s">
        <v>36</v>
      </c>
      <c r="D31" s="17" t="s">
        <v>45</v>
      </c>
      <c r="E31" s="17" t="s">
        <v>46</v>
      </c>
      <c r="F31" s="17">
        <v>40</v>
      </c>
      <c r="G31" s="84" t="s">
        <v>153</v>
      </c>
      <c r="H31" s="85"/>
      <c r="I31" s="102"/>
      <c r="J31" s="61" t="s">
        <v>20</v>
      </c>
      <c r="K31" s="61"/>
      <c r="L31" s="61"/>
      <c r="M31" s="61"/>
      <c r="N31" s="59"/>
      <c r="O31" s="37"/>
    </row>
    <row r="32" spans="1:17" s="11" customFormat="1" ht="12.75" customHeight="1">
      <c r="A32" s="104"/>
      <c r="B32" s="16" t="s">
        <v>38</v>
      </c>
      <c r="C32" s="18" t="s">
        <v>39</v>
      </c>
      <c r="D32" s="17" t="s">
        <v>61</v>
      </c>
      <c r="E32" s="17" t="s">
        <v>62</v>
      </c>
      <c r="F32" s="19">
        <v>2.5</v>
      </c>
      <c r="G32" s="61" t="s">
        <v>208</v>
      </c>
      <c r="H32" s="61" t="s">
        <v>196</v>
      </c>
      <c r="I32" s="103"/>
      <c r="J32" s="61" t="s">
        <v>20</v>
      </c>
      <c r="K32" s="61"/>
      <c r="L32" s="61"/>
      <c r="M32" s="61"/>
      <c r="N32" s="59"/>
      <c r="O32" s="37"/>
    </row>
    <row r="33" spans="1:17" ht="12" customHeight="1">
      <c r="A33" s="93" t="s">
        <v>63</v>
      </c>
      <c r="B33" s="20" t="s">
        <v>64</v>
      </c>
      <c r="C33" s="12" t="s">
        <v>36</v>
      </c>
      <c r="D33" s="61" t="s">
        <v>65</v>
      </c>
      <c r="E33" s="61" t="s">
        <v>54</v>
      </c>
      <c r="F33" s="17">
        <v>10</v>
      </c>
      <c r="G33" s="84" t="s">
        <v>209</v>
      </c>
      <c r="H33" s="85"/>
      <c r="I33" s="105" t="s">
        <v>142</v>
      </c>
      <c r="J33" s="61" t="s">
        <v>34</v>
      </c>
      <c r="K33" s="61"/>
      <c r="L33" s="61"/>
      <c r="M33" s="61"/>
      <c r="N33" s="59"/>
      <c r="O33" s="39"/>
    </row>
    <row r="34" spans="1:17" ht="12.75" customHeight="1">
      <c r="A34" s="100"/>
      <c r="B34" s="20" t="s">
        <v>38</v>
      </c>
      <c r="C34" s="18" t="s">
        <v>39</v>
      </c>
      <c r="D34" s="17" t="s">
        <v>66</v>
      </c>
      <c r="E34" s="17" t="s">
        <v>67</v>
      </c>
      <c r="F34" s="17">
        <v>7.3</v>
      </c>
      <c r="G34" s="44" t="s">
        <v>237</v>
      </c>
      <c r="H34" s="8" t="s">
        <v>246</v>
      </c>
      <c r="I34" s="105"/>
      <c r="J34" s="61" t="s">
        <v>60</v>
      </c>
      <c r="K34" s="61"/>
      <c r="L34" s="61"/>
      <c r="M34" s="61"/>
      <c r="N34" s="59"/>
      <c r="O34" s="39"/>
    </row>
    <row r="35" spans="1:17" ht="12.75" customHeight="1">
      <c r="A35" s="94"/>
      <c r="B35" s="21" t="s">
        <v>68</v>
      </c>
      <c r="C35" s="5" t="s">
        <v>17</v>
      </c>
      <c r="D35" s="61" t="s">
        <v>69</v>
      </c>
      <c r="E35" s="61" t="s">
        <v>70</v>
      </c>
      <c r="F35" s="17">
        <v>10</v>
      </c>
      <c r="G35" s="84" t="s">
        <v>209</v>
      </c>
      <c r="H35" s="85"/>
      <c r="I35" s="105"/>
      <c r="J35" s="61" t="s">
        <v>34</v>
      </c>
      <c r="K35" s="61"/>
      <c r="L35" s="61"/>
      <c r="M35" s="61"/>
      <c r="N35" s="59"/>
      <c r="O35" s="39"/>
    </row>
    <row r="36" spans="1:17" s="11" customFormat="1" ht="15" customHeight="1">
      <c r="A36" s="93" t="s">
        <v>71</v>
      </c>
      <c r="B36" s="21" t="s">
        <v>72</v>
      </c>
      <c r="C36" s="12" t="s">
        <v>36</v>
      </c>
      <c r="D36" s="17" t="s">
        <v>73</v>
      </c>
      <c r="E36" s="61" t="s">
        <v>74</v>
      </c>
      <c r="F36" s="17">
        <v>16</v>
      </c>
      <c r="G36" s="61" t="s">
        <v>238</v>
      </c>
      <c r="H36" s="8" t="s">
        <v>250</v>
      </c>
      <c r="I36" s="105" t="s">
        <v>143</v>
      </c>
      <c r="J36" s="61" t="s">
        <v>75</v>
      </c>
      <c r="K36" s="9"/>
      <c r="L36" s="9"/>
      <c r="M36" s="9"/>
      <c r="N36" s="59"/>
      <c r="O36" s="37"/>
    </row>
    <row r="37" spans="1:17" ht="13.5" customHeight="1">
      <c r="A37" s="100"/>
      <c r="B37" s="21" t="s">
        <v>76</v>
      </c>
      <c r="C37" s="12" t="s">
        <v>36</v>
      </c>
      <c r="D37" s="61" t="s">
        <v>77</v>
      </c>
      <c r="E37" s="61" t="s">
        <v>78</v>
      </c>
      <c r="F37" s="17">
        <v>13</v>
      </c>
      <c r="G37" s="84" t="s">
        <v>239</v>
      </c>
      <c r="H37" s="85"/>
      <c r="I37" s="105"/>
      <c r="J37" s="61" t="s">
        <v>34</v>
      </c>
      <c r="K37" s="9"/>
      <c r="L37" s="9"/>
      <c r="M37" s="9"/>
      <c r="N37" s="59"/>
      <c r="O37" s="39"/>
      <c r="Q37" s="11"/>
    </row>
    <row r="38" spans="1:17" ht="13.5" customHeight="1">
      <c r="A38" s="100"/>
      <c r="B38" s="21" t="s">
        <v>68</v>
      </c>
      <c r="C38" s="5" t="s">
        <v>17</v>
      </c>
      <c r="D38" s="61" t="s">
        <v>79</v>
      </c>
      <c r="E38" s="61" t="s">
        <v>80</v>
      </c>
      <c r="F38" s="17">
        <v>16</v>
      </c>
      <c r="G38" s="84" t="s">
        <v>179</v>
      </c>
      <c r="H38" s="85"/>
      <c r="I38" s="105"/>
      <c r="J38" s="61" t="s">
        <v>20</v>
      </c>
      <c r="K38" s="9"/>
      <c r="L38" s="9"/>
      <c r="M38" s="9"/>
      <c r="N38" s="59"/>
      <c r="O38" s="39"/>
      <c r="Q38" s="11"/>
    </row>
    <row r="39" spans="1:17" ht="13.5" customHeight="1">
      <c r="A39" s="94"/>
      <c r="B39" s="20" t="s">
        <v>38</v>
      </c>
      <c r="C39" s="18" t="s">
        <v>39</v>
      </c>
      <c r="D39" s="17" t="s">
        <v>81</v>
      </c>
      <c r="E39" s="17" t="s">
        <v>82</v>
      </c>
      <c r="F39" s="17">
        <v>7.3</v>
      </c>
      <c r="G39" s="8" t="s">
        <v>220</v>
      </c>
      <c r="H39" s="8" t="s">
        <v>247</v>
      </c>
      <c r="I39" s="105"/>
      <c r="J39" s="61" t="s">
        <v>34</v>
      </c>
      <c r="K39" s="9"/>
      <c r="L39" s="9"/>
      <c r="M39" s="9"/>
      <c r="N39" s="59"/>
      <c r="O39" s="40"/>
      <c r="Q39" s="11"/>
    </row>
    <row r="40" spans="1:17" s="11" customFormat="1" ht="13.5" customHeight="1">
      <c r="A40" s="93" t="s">
        <v>83</v>
      </c>
      <c r="B40" s="21" t="s">
        <v>72</v>
      </c>
      <c r="C40" s="12" t="s">
        <v>36</v>
      </c>
      <c r="D40" s="17" t="s">
        <v>84</v>
      </c>
      <c r="E40" s="61" t="s">
        <v>85</v>
      </c>
      <c r="F40" s="17">
        <v>16</v>
      </c>
      <c r="G40" s="61" t="s">
        <v>240</v>
      </c>
      <c r="H40" s="8" t="s">
        <v>248</v>
      </c>
      <c r="I40" s="105" t="s">
        <v>143</v>
      </c>
      <c r="J40" s="61" t="s">
        <v>75</v>
      </c>
      <c r="K40" s="9"/>
      <c r="L40" s="9"/>
      <c r="M40" s="9"/>
      <c r="N40" s="59"/>
      <c r="O40" s="37"/>
    </row>
    <row r="41" spans="1:17" ht="13.5" customHeight="1">
      <c r="A41" s="100"/>
      <c r="B41" s="21" t="s">
        <v>76</v>
      </c>
      <c r="C41" s="12" t="s">
        <v>36</v>
      </c>
      <c r="D41" s="61" t="s">
        <v>86</v>
      </c>
      <c r="E41" s="61" t="s">
        <v>87</v>
      </c>
      <c r="F41" s="17">
        <v>13</v>
      </c>
      <c r="G41" s="84" t="s">
        <v>239</v>
      </c>
      <c r="H41" s="85"/>
      <c r="I41" s="105"/>
      <c r="J41" s="61" t="s">
        <v>34</v>
      </c>
      <c r="K41" s="61"/>
      <c r="L41" s="61"/>
      <c r="M41" s="61"/>
      <c r="N41" s="59"/>
      <c r="O41" s="39"/>
      <c r="Q41" s="11"/>
    </row>
    <row r="42" spans="1:17" ht="13.5" customHeight="1">
      <c r="A42" s="100"/>
      <c r="B42" s="21" t="s">
        <v>68</v>
      </c>
      <c r="C42" s="5" t="s">
        <v>17</v>
      </c>
      <c r="D42" s="61" t="s">
        <v>88</v>
      </c>
      <c r="E42" s="61" t="s">
        <v>89</v>
      </c>
      <c r="F42" s="17">
        <v>16</v>
      </c>
      <c r="G42" s="84" t="s">
        <v>179</v>
      </c>
      <c r="H42" s="85"/>
      <c r="I42" s="105"/>
      <c r="J42" s="61" t="s">
        <v>34</v>
      </c>
      <c r="K42" s="9"/>
      <c r="L42" s="9"/>
      <c r="M42" s="9"/>
      <c r="N42" s="59"/>
      <c r="O42" s="39"/>
      <c r="Q42" s="11"/>
    </row>
    <row r="43" spans="1:17" ht="13.5" customHeight="1">
      <c r="A43" s="94"/>
      <c r="B43" s="20" t="s">
        <v>38</v>
      </c>
      <c r="C43" s="18" t="s">
        <v>39</v>
      </c>
      <c r="D43" s="17" t="s">
        <v>66</v>
      </c>
      <c r="E43" s="17" t="s">
        <v>67</v>
      </c>
      <c r="F43" s="17">
        <v>7.3</v>
      </c>
      <c r="G43" s="8" t="s">
        <v>220</v>
      </c>
      <c r="H43" s="8" t="s">
        <v>247</v>
      </c>
      <c r="I43" s="105"/>
      <c r="J43" s="61" t="s">
        <v>34</v>
      </c>
      <c r="K43" s="9"/>
      <c r="L43" s="9"/>
      <c r="M43" s="9"/>
      <c r="N43" s="59"/>
      <c r="O43" s="39"/>
      <c r="Q43" s="11"/>
    </row>
    <row r="44" spans="1:17" ht="13.5" customHeight="1">
      <c r="A44" s="93" t="s">
        <v>90</v>
      </c>
      <c r="B44" s="4" t="s">
        <v>91</v>
      </c>
      <c r="C44" s="12" t="s">
        <v>36</v>
      </c>
      <c r="D44" s="61" t="s">
        <v>92</v>
      </c>
      <c r="E44" s="61" t="s">
        <v>93</v>
      </c>
      <c r="F44" s="17">
        <v>6</v>
      </c>
      <c r="G44" s="61" t="s">
        <v>241</v>
      </c>
      <c r="H44" s="8" t="s">
        <v>249</v>
      </c>
      <c r="I44" s="101" t="s">
        <v>143</v>
      </c>
      <c r="J44" s="61" t="s">
        <v>75</v>
      </c>
      <c r="K44" s="9"/>
      <c r="L44" s="9"/>
      <c r="M44" s="9"/>
      <c r="N44" s="22"/>
      <c r="O44" s="39"/>
      <c r="Q44" s="11"/>
    </row>
    <row r="45" spans="1:17" ht="13.5" customHeight="1">
      <c r="A45" s="100"/>
      <c r="B45" s="4" t="s">
        <v>68</v>
      </c>
      <c r="C45" s="23" t="s">
        <v>17</v>
      </c>
      <c r="D45" s="61" t="s">
        <v>94</v>
      </c>
      <c r="E45" s="61" t="s">
        <v>95</v>
      </c>
      <c r="F45" s="17">
        <v>10</v>
      </c>
      <c r="G45" s="84" t="s">
        <v>159</v>
      </c>
      <c r="H45" s="85"/>
      <c r="I45" s="102"/>
      <c r="J45" s="61" t="s">
        <v>20</v>
      </c>
      <c r="K45" s="9"/>
      <c r="L45" s="9"/>
      <c r="M45" s="9"/>
      <c r="N45" s="22"/>
      <c r="O45" s="39"/>
      <c r="Q45" s="11"/>
    </row>
    <row r="46" spans="1:17" ht="13.5" customHeight="1">
      <c r="A46" s="100"/>
      <c r="B46" s="16" t="s">
        <v>38</v>
      </c>
      <c r="C46" s="18" t="s">
        <v>39</v>
      </c>
      <c r="D46" s="17" t="s">
        <v>55</v>
      </c>
      <c r="E46" s="17" t="s">
        <v>56</v>
      </c>
      <c r="F46" s="17">
        <v>4.2</v>
      </c>
      <c r="G46" s="84" t="s">
        <v>212</v>
      </c>
      <c r="H46" s="85"/>
      <c r="I46" s="102"/>
      <c r="J46" s="61" t="s">
        <v>20</v>
      </c>
      <c r="K46" s="9"/>
      <c r="L46" s="9"/>
      <c r="M46" s="9"/>
      <c r="N46" s="22"/>
      <c r="O46" s="29"/>
      <c r="Q46" s="11"/>
    </row>
    <row r="47" spans="1:17" ht="13.5" customHeight="1">
      <c r="A47" s="94"/>
      <c r="B47" s="16" t="s">
        <v>96</v>
      </c>
      <c r="C47" s="12" t="s">
        <v>36</v>
      </c>
      <c r="D47" s="17" t="s">
        <v>97</v>
      </c>
      <c r="E47" s="17" t="s">
        <v>98</v>
      </c>
      <c r="F47" s="17">
        <v>0.6</v>
      </c>
      <c r="G47" s="84" t="s">
        <v>190</v>
      </c>
      <c r="H47" s="85"/>
      <c r="I47" s="103"/>
      <c r="J47" s="61" t="s">
        <v>34</v>
      </c>
      <c r="K47" s="9"/>
      <c r="L47" s="9"/>
      <c r="M47" s="9"/>
      <c r="N47" s="22"/>
      <c r="O47" s="39"/>
      <c r="Q47" s="11"/>
    </row>
    <row r="48" spans="1:17" ht="13.5" customHeight="1">
      <c r="A48" s="93" t="s">
        <v>99</v>
      </c>
      <c r="B48" s="4" t="s">
        <v>91</v>
      </c>
      <c r="C48" s="12" t="s">
        <v>36</v>
      </c>
      <c r="D48" s="61" t="s">
        <v>100</v>
      </c>
      <c r="E48" s="61" t="s">
        <v>101</v>
      </c>
      <c r="F48" s="17">
        <v>2.5</v>
      </c>
      <c r="G48" s="61" t="s">
        <v>172</v>
      </c>
      <c r="H48" s="8" t="s">
        <v>166</v>
      </c>
      <c r="I48" s="101" t="s">
        <v>142</v>
      </c>
      <c r="J48" s="61" t="s">
        <v>75</v>
      </c>
      <c r="K48" s="9"/>
      <c r="L48" s="9"/>
      <c r="M48" s="9"/>
      <c r="N48" s="59"/>
      <c r="O48" s="39"/>
      <c r="Q48" s="11"/>
    </row>
    <row r="49" spans="1:18" ht="13.5" customHeight="1">
      <c r="A49" s="106"/>
      <c r="B49" s="4" t="s">
        <v>68</v>
      </c>
      <c r="C49" s="23" t="s">
        <v>17</v>
      </c>
      <c r="D49" s="61" t="s">
        <v>54</v>
      </c>
      <c r="E49" s="61" t="s">
        <v>102</v>
      </c>
      <c r="F49" s="17">
        <v>9.5</v>
      </c>
      <c r="G49" s="84" t="s">
        <v>209</v>
      </c>
      <c r="H49" s="85"/>
      <c r="I49" s="102"/>
      <c r="J49" s="61" t="s">
        <v>20</v>
      </c>
      <c r="K49" s="9"/>
      <c r="L49" s="9"/>
      <c r="M49" s="9"/>
      <c r="N49" s="59"/>
      <c r="O49" s="39"/>
      <c r="Q49" s="11"/>
    </row>
    <row r="50" spans="1:18" ht="13.5" customHeight="1">
      <c r="A50" s="106"/>
      <c r="B50" s="16" t="s">
        <v>38</v>
      </c>
      <c r="C50" s="18" t="s">
        <v>39</v>
      </c>
      <c r="D50" s="17" t="s">
        <v>55</v>
      </c>
      <c r="E50" s="17" t="s">
        <v>56</v>
      </c>
      <c r="F50" s="17">
        <v>4.2</v>
      </c>
      <c r="G50" s="84" t="s">
        <v>207</v>
      </c>
      <c r="H50" s="85"/>
      <c r="I50" s="102"/>
      <c r="J50" s="61" t="s">
        <v>20</v>
      </c>
      <c r="K50" s="9"/>
      <c r="L50" s="9"/>
      <c r="M50" s="9"/>
      <c r="N50" s="24"/>
      <c r="O50" s="39"/>
      <c r="Q50" s="11"/>
    </row>
    <row r="51" spans="1:18" ht="13.5" customHeight="1">
      <c r="A51" s="92"/>
      <c r="B51" s="16" t="s">
        <v>96</v>
      </c>
      <c r="C51" s="12" t="s">
        <v>36</v>
      </c>
      <c r="D51" s="17" t="s">
        <v>103</v>
      </c>
      <c r="E51" s="17" t="s">
        <v>103</v>
      </c>
      <c r="F51" s="17">
        <v>0.2</v>
      </c>
      <c r="G51" s="84" t="s">
        <v>204</v>
      </c>
      <c r="H51" s="85"/>
      <c r="I51" s="103"/>
      <c r="J51" s="61" t="s">
        <v>34</v>
      </c>
      <c r="K51" s="9"/>
      <c r="L51" s="9"/>
      <c r="M51" s="9"/>
      <c r="N51" s="24"/>
      <c r="O51" s="39"/>
      <c r="Q51" s="11"/>
    </row>
    <row r="52" spans="1:18" ht="13.5" customHeight="1">
      <c r="A52" s="93" t="s">
        <v>104</v>
      </c>
      <c r="B52" s="25" t="s">
        <v>105</v>
      </c>
      <c r="C52" s="12" t="s">
        <v>36</v>
      </c>
      <c r="D52" s="17" t="s">
        <v>106</v>
      </c>
      <c r="E52" s="17" t="s">
        <v>107</v>
      </c>
      <c r="F52" s="17">
        <v>45</v>
      </c>
      <c r="G52" s="84" t="s">
        <v>180</v>
      </c>
      <c r="H52" s="85"/>
      <c r="I52" s="102" t="s">
        <v>144</v>
      </c>
      <c r="J52" s="61" t="s">
        <v>34</v>
      </c>
      <c r="K52" s="9" t="s">
        <v>152</v>
      </c>
      <c r="L52" s="61"/>
      <c r="M52" s="9" t="s">
        <v>242</v>
      </c>
      <c r="N52" s="22"/>
      <c r="O52" s="39"/>
      <c r="P52" s="27"/>
      <c r="Q52" s="27"/>
      <c r="R52" s="11"/>
    </row>
    <row r="53" spans="1:18" ht="14.25" customHeight="1">
      <c r="A53" s="94"/>
      <c r="B53" s="25" t="s">
        <v>108</v>
      </c>
      <c r="C53" s="23" t="s">
        <v>109</v>
      </c>
      <c r="D53" s="17" t="s">
        <v>110</v>
      </c>
      <c r="E53" s="17" t="s">
        <v>111</v>
      </c>
      <c r="F53" s="17">
        <v>120</v>
      </c>
      <c r="G53" s="84" t="s">
        <v>243</v>
      </c>
      <c r="H53" s="85"/>
      <c r="I53" s="102"/>
      <c r="J53" s="61" t="s">
        <v>34</v>
      </c>
      <c r="K53" s="9"/>
      <c r="L53" s="9"/>
      <c r="M53" s="9"/>
      <c r="N53" s="26"/>
      <c r="O53" s="61"/>
      <c r="P53" s="79"/>
      <c r="Q53" s="11"/>
    </row>
    <row r="54" spans="1:18" ht="12.75" customHeight="1">
      <c r="A54" s="93" t="s">
        <v>112</v>
      </c>
      <c r="B54" s="25" t="s">
        <v>105</v>
      </c>
      <c r="C54" s="12" t="s">
        <v>36</v>
      </c>
      <c r="D54" s="17" t="s">
        <v>113</v>
      </c>
      <c r="E54" s="17" t="s">
        <v>114</v>
      </c>
      <c r="F54" s="17">
        <v>45</v>
      </c>
      <c r="G54" s="84" t="s">
        <v>167</v>
      </c>
      <c r="H54" s="85"/>
      <c r="I54" s="101" t="s">
        <v>144</v>
      </c>
      <c r="J54" s="61" t="s">
        <v>34</v>
      </c>
      <c r="K54" s="9" t="s">
        <v>152</v>
      </c>
      <c r="L54" s="9"/>
      <c r="M54" s="9" t="s">
        <v>203</v>
      </c>
      <c r="N54" s="26"/>
      <c r="O54" s="61"/>
      <c r="P54" s="79"/>
      <c r="Q54" s="11"/>
    </row>
    <row r="55" spans="1:18" ht="12.75" customHeight="1">
      <c r="A55" s="94"/>
      <c r="B55" s="25" t="s">
        <v>115</v>
      </c>
      <c r="C55" s="23" t="s">
        <v>109</v>
      </c>
      <c r="D55" s="17" t="s">
        <v>116</v>
      </c>
      <c r="E55" s="17" t="s">
        <v>117</v>
      </c>
      <c r="F55" s="17">
        <v>120</v>
      </c>
      <c r="G55" s="84" t="s">
        <v>197</v>
      </c>
      <c r="H55" s="85"/>
      <c r="I55" s="103"/>
      <c r="J55" s="61" t="s">
        <v>34</v>
      </c>
      <c r="K55" s="9"/>
      <c r="L55" s="9"/>
      <c r="M55" s="9"/>
      <c r="N55" s="26"/>
      <c r="O55" s="61"/>
      <c r="P55" s="62"/>
      <c r="Q55" s="11"/>
    </row>
    <row r="56" spans="1:18" ht="12.75" customHeight="1">
      <c r="A56" s="4" t="s">
        <v>118</v>
      </c>
      <c r="B56" s="4" t="s">
        <v>119</v>
      </c>
      <c r="C56" s="5" t="s">
        <v>120</v>
      </c>
      <c r="D56" s="17" t="s">
        <v>121</v>
      </c>
      <c r="E56" s="17" t="s">
        <v>122</v>
      </c>
      <c r="F56" s="28">
        <v>0.1</v>
      </c>
      <c r="G56" s="84" t="s">
        <v>183</v>
      </c>
      <c r="H56" s="85"/>
      <c r="I56" s="61" t="s">
        <v>145</v>
      </c>
      <c r="J56" s="61" t="s">
        <v>34</v>
      </c>
      <c r="K56" s="61"/>
      <c r="L56" s="9"/>
      <c r="M56" s="61"/>
      <c r="N56" s="29"/>
      <c r="O56" s="39"/>
    </row>
    <row r="57" spans="1:18" s="11" customFormat="1" ht="12.75" customHeight="1">
      <c r="A57" s="4" t="s">
        <v>123</v>
      </c>
      <c r="B57" s="21" t="s">
        <v>91</v>
      </c>
      <c r="C57" s="5" t="s">
        <v>124</v>
      </c>
      <c r="D57" s="17" t="s">
        <v>125</v>
      </c>
      <c r="E57" s="17" t="s">
        <v>126</v>
      </c>
      <c r="F57" s="28">
        <v>0.1</v>
      </c>
      <c r="G57" s="84" t="s">
        <v>150</v>
      </c>
      <c r="H57" s="85"/>
      <c r="I57" s="61" t="s">
        <v>145</v>
      </c>
      <c r="J57" s="61" t="s">
        <v>34</v>
      </c>
      <c r="K57" s="61"/>
      <c r="L57" s="61"/>
      <c r="M57" s="61"/>
      <c r="N57" s="59"/>
      <c r="O57" s="37"/>
      <c r="P57" s="43" t="s">
        <v>147</v>
      </c>
    </row>
    <row r="58" spans="1:18" s="11" customFormat="1" ht="12.75" customHeight="1">
      <c r="A58" s="4" t="s">
        <v>168</v>
      </c>
      <c r="B58" s="21" t="s">
        <v>91</v>
      </c>
      <c r="C58" s="5" t="s">
        <v>124</v>
      </c>
      <c r="D58" s="17" t="s">
        <v>125</v>
      </c>
      <c r="E58" s="17" t="s">
        <v>126</v>
      </c>
      <c r="F58" s="28">
        <v>0.1</v>
      </c>
      <c r="G58" s="84" t="s">
        <v>191</v>
      </c>
      <c r="H58" s="85"/>
      <c r="I58" s="61" t="s">
        <v>145</v>
      </c>
      <c r="J58" s="61" t="s">
        <v>34</v>
      </c>
      <c r="K58" s="61"/>
      <c r="L58" s="61"/>
      <c r="M58" s="61"/>
      <c r="N58" s="59"/>
      <c r="O58" s="37"/>
      <c r="P58" s="43" t="s">
        <v>147</v>
      </c>
    </row>
    <row r="59" spans="1:18" ht="12.75" customHeight="1">
      <c r="A59" s="4" t="s">
        <v>133</v>
      </c>
      <c r="B59" s="21" t="s">
        <v>91</v>
      </c>
      <c r="C59" s="5" t="s">
        <v>124</v>
      </c>
      <c r="D59" s="17" t="s">
        <v>162</v>
      </c>
      <c r="E59" s="17" t="s">
        <v>163</v>
      </c>
      <c r="F59" s="28">
        <v>0.02</v>
      </c>
      <c r="G59" s="84" t="s">
        <v>244</v>
      </c>
      <c r="H59" s="85"/>
      <c r="I59" s="61" t="s">
        <v>145</v>
      </c>
      <c r="J59" s="61" t="s">
        <v>34</v>
      </c>
      <c r="K59" s="61"/>
      <c r="L59" s="61"/>
      <c r="M59" s="61"/>
      <c r="N59" s="24"/>
      <c r="O59" s="39"/>
    </row>
    <row r="60" spans="1:18" ht="12.75" customHeight="1">
      <c r="A60" s="107" t="s">
        <v>127</v>
      </c>
      <c r="B60" s="108"/>
      <c r="C60" s="108"/>
      <c r="D60" s="108"/>
      <c r="E60" s="27"/>
      <c r="G60" s="42"/>
      <c r="H60" s="30"/>
      <c r="I60" s="31"/>
      <c r="J60" s="32"/>
      <c r="K60" s="33"/>
      <c r="L60" s="56"/>
      <c r="O60" s="58"/>
    </row>
    <row r="61" spans="1:18" ht="12.75" customHeight="1">
      <c r="A61" s="1" t="s">
        <v>128</v>
      </c>
      <c r="B61" s="1"/>
      <c r="C61" s="1"/>
      <c r="G61" s="34"/>
      <c r="H61" s="34" t="s">
        <v>129</v>
      </c>
      <c r="I61" s="31"/>
      <c r="J61" s="33"/>
      <c r="K61" s="33"/>
      <c r="L61" s="35" t="s">
        <v>130</v>
      </c>
      <c r="M61" s="3" t="s">
        <v>131</v>
      </c>
      <c r="O61" s="58"/>
    </row>
    <row r="62" spans="1:18" ht="14.85" customHeight="1">
      <c r="L62" s="56"/>
      <c r="O62" s="58"/>
    </row>
  </sheetData>
  <mergeCells count="82">
    <mergeCell ref="G8:H8"/>
    <mergeCell ref="A1:O2"/>
    <mergeCell ref="A3:N3"/>
    <mergeCell ref="N4:O4"/>
    <mergeCell ref="A5:A6"/>
    <mergeCell ref="B5:B6"/>
    <mergeCell ref="C5:C6"/>
    <mergeCell ref="D5:D6"/>
    <mergeCell ref="E5:E6"/>
    <mergeCell ref="F5:F6"/>
    <mergeCell ref="G5:H5"/>
    <mergeCell ref="I5:I6"/>
    <mergeCell ref="K5:L5"/>
    <mergeCell ref="M5:N5"/>
    <mergeCell ref="O5:O6"/>
    <mergeCell ref="G7:H7"/>
    <mergeCell ref="A18:A20"/>
    <mergeCell ref="G18:H18"/>
    <mergeCell ref="I18:I20"/>
    <mergeCell ref="G19:H19"/>
    <mergeCell ref="G9:H9"/>
    <mergeCell ref="G10:H10"/>
    <mergeCell ref="G11:H11"/>
    <mergeCell ref="G12:H12"/>
    <mergeCell ref="A13:A14"/>
    <mergeCell ref="G13:H13"/>
    <mergeCell ref="I13:I14"/>
    <mergeCell ref="A15:A17"/>
    <mergeCell ref="G15:H15"/>
    <mergeCell ref="I15:I17"/>
    <mergeCell ref="G16:H16"/>
    <mergeCell ref="A25:A28"/>
    <mergeCell ref="G25:H25"/>
    <mergeCell ref="I25:I28"/>
    <mergeCell ref="G26:H26"/>
    <mergeCell ref="G27:H27"/>
    <mergeCell ref="A21:A24"/>
    <mergeCell ref="G21:H21"/>
    <mergeCell ref="I21:I24"/>
    <mergeCell ref="G22:H22"/>
    <mergeCell ref="G23:H23"/>
    <mergeCell ref="I29:I32"/>
    <mergeCell ref="G30:H30"/>
    <mergeCell ref="G31:H31"/>
    <mergeCell ref="A36:A39"/>
    <mergeCell ref="I36:I39"/>
    <mergeCell ref="G37:H37"/>
    <mergeCell ref="G38:H38"/>
    <mergeCell ref="A33:A35"/>
    <mergeCell ref="G33:H33"/>
    <mergeCell ref="I33:I35"/>
    <mergeCell ref="G35:H35"/>
    <mergeCell ref="A29:A32"/>
    <mergeCell ref="G29:H29"/>
    <mergeCell ref="A40:A43"/>
    <mergeCell ref="I40:I43"/>
    <mergeCell ref="G41:H41"/>
    <mergeCell ref="G42:H42"/>
    <mergeCell ref="A48:A51"/>
    <mergeCell ref="I48:I51"/>
    <mergeCell ref="G49:H49"/>
    <mergeCell ref="G50:H50"/>
    <mergeCell ref="G51:H51"/>
    <mergeCell ref="A44:A47"/>
    <mergeCell ref="I44:I47"/>
    <mergeCell ref="G45:H45"/>
    <mergeCell ref="G46:H46"/>
    <mergeCell ref="G47:H47"/>
    <mergeCell ref="A52:A53"/>
    <mergeCell ref="G52:H52"/>
    <mergeCell ref="I52:I53"/>
    <mergeCell ref="G53:H53"/>
    <mergeCell ref="P53:P54"/>
    <mergeCell ref="A54:A55"/>
    <mergeCell ref="G54:H54"/>
    <mergeCell ref="I54:I55"/>
    <mergeCell ref="G55:H55"/>
    <mergeCell ref="G56:H56"/>
    <mergeCell ref="G57:H57"/>
    <mergeCell ref="G58:H58"/>
    <mergeCell ref="G59:H59"/>
    <mergeCell ref="A60:D60"/>
  </mergeCells>
  <phoneticPr fontId="1" type="noConversion"/>
  <pageMargins left="0.5" right="0.08" top="0.22" bottom="0.19" header="0.12" footer="0.21"/>
  <pageSetup paperSize="9" scale="96" orientation="portrait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40" sqref="M40"/>
    </sheetView>
  </sheetViews>
  <sheetFormatPr defaultRowHeight="14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42" sqref="J42"/>
    </sheetView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3.27</vt:lpstr>
      <vt:lpstr>Sheet1</vt:lpstr>
      <vt:lpstr>11.9</vt:lpstr>
      <vt:lpstr>11.10</vt:lpstr>
      <vt:lpstr>Sheet3</vt:lpstr>
      <vt:lpstr>Sheet2</vt:lpstr>
      <vt:lpstr>'11.10'!Print_Area</vt:lpstr>
      <vt:lpstr>'11.9'!Print_Area</vt:lpstr>
      <vt:lpstr>'3.27'!Print_Area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</dc:creator>
  <cp:lastModifiedBy>xbany</cp:lastModifiedBy>
  <cp:lastPrinted>2025-03-26T02:32:11Z</cp:lastPrinted>
  <dcterms:created xsi:type="dcterms:W3CDTF">2022-05-11T10:30:30Z</dcterms:created>
  <dcterms:modified xsi:type="dcterms:W3CDTF">2026-05-13T00:48:25Z</dcterms:modified>
</cp:coreProperties>
</file>