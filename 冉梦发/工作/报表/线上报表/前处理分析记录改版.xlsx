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8535" activeTab="1"/>
  </bookViews>
  <sheets>
    <sheet name="化学品用量" sheetId="1" r:id="rId1"/>
    <sheet name="分析记录4.1" sheetId="47" r:id="rId2"/>
    <sheet name="分析记录4.1 (2)" sheetId="48" r:id="rId3"/>
  </sheets>
  <calcPr calcId="124519"/>
</workbook>
</file>

<file path=xl/calcChain.xml><?xml version="1.0" encoding="utf-8"?>
<calcChain xmlns="http://schemas.openxmlformats.org/spreadsheetml/2006/main">
  <c r="AF44" i="1"/>
  <c r="AC44"/>
  <c r="Y44"/>
  <c r="V44"/>
  <c r="O44"/>
  <c r="L44"/>
  <c r="K44"/>
  <c r="H44"/>
  <c r="D43"/>
  <c r="C43" s="1"/>
  <c r="D42"/>
  <c r="C42" s="1"/>
  <c r="D41"/>
  <c r="C41" s="1"/>
  <c r="D40"/>
  <c r="C40" s="1"/>
  <c r="D39"/>
  <c r="C39" s="1"/>
  <c r="D38"/>
  <c r="C38" s="1"/>
  <c r="D37"/>
  <c r="C37" s="1"/>
  <c r="D36"/>
  <c r="C36" s="1"/>
  <c r="AH35"/>
  <c r="AH44" s="1"/>
  <c r="AG35"/>
  <c r="AG44" s="1"/>
  <c r="AE35"/>
  <c r="AE44" s="1"/>
  <c r="AD35"/>
  <c r="AD44" s="1"/>
  <c r="AB35"/>
  <c r="AB44" s="1"/>
  <c r="AA35"/>
  <c r="AA44" s="1"/>
  <c r="Z35"/>
  <c r="Z44" s="1"/>
  <c r="X35"/>
  <c r="X44" s="1"/>
  <c r="W35"/>
  <c r="W44" s="1"/>
  <c r="U35"/>
  <c r="U44" s="1"/>
  <c r="T35"/>
  <c r="T44" s="1"/>
  <c r="S35"/>
  <c r="S44" s="1"/>
  <c r="R35"/>
  <c r="R44" s="1"/>
  <c r="Q35"/>
  <c r="Q44" s="1"/>
  <c r="P35"/>
  <c r="P44" s="1"/>
  <c r="N35"/>
  <c r="N44" s="1"/>
  <c r="M35"/>
  <c r="M44" s="1"/>
  <c r="J35"/>
  <c r="J44" s="1"/>
  <c r="I35"/>
  <c r="I44" s="1"/>
  <c r="G35"/>
  <c r="G44" s="1"/>
  <c r="F35"/>
  <c r="F44" s="1"/>
  <c r="E35"/>
  <c r="E44" s="1"/>
  <c r="D35"/>
  <c r="C35" s="1"/>
  <c r="C44" s="1"/>
  <c r="C29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7"/>
  <c r="C27" s="1"/>
  <c r="D26"/>
  <c r="C26" s="1"/>
  <c r="D25"/>
  <c r="C25" s="1"/>
  <c r="D24"/>
  <c r="C24" s="1"/>
  <c r="D23"/>
  <c r="C23" s="1"/>
  <c r="D22"/>
  <c r="C22" s="1"/>
  <c r="D21"/>
  <c r="C21" s="1"/>
  <c r="D20"/>
  <c r="C20" s="1"/>
  <c r="D19"/>
  <c r="C19" s="1"/>
  <c r="AY18"/>
  <c r="D18"/>
  <c r="C18" s="1"/>
  <c r="D17"/>
  <c r="C17" s="1"/>
  <c r="D16"/>
  <c r="C16" s="1"/>
  <c r="D15"/>
  <c r="C15" s="1"/>
  <c r="D14"/>
  <c r="C14" s="1"/>
  <c r="D13"/>
  <c r="C13" s="1"/>
  <c r="D12"/>
  <c r="C12" s="1"/>
  <c r="D11"/>
  <c r="C11" s="1"/>
  <c r="D10"/>
  <c r="C10" s="1"/>
  <c r="D9"/>
  <c r="C9" s="1"/>
  <c r="D8"/>
  <c r="C8" s="1"/>
  <c r="D7"/>
  <c r="C7" s="1"/>
  <c r="D6"/>
  <c r="C6" s="1"/>
  <c r="D5"/>
  <c r="C5" s="1"/>
  <c r="D4"/>
  <c r="C4" s="1"/>
  <c r="D3"/>
  <c r="D28" l="1"/>
  <c r="C3"/>
  <c r="C28" s="1"/>
  <c r="A28" s="1"/>
  <c r="D44"/>
</calcChain>
</file>

<file path=xl/sharedStrings.xml><?xml version="1.0" encoding="utf-8"?>
<sst xmlns="http://schemas.openxmlformats.org/spreadsheetml/2006/main" count="136" uniqueCount="90">
  <si>
    <t>除油粉</t>
  </si>
  <si>
    <t>槽名</t>
  </si>
  <si>
    <t>槽积(L)</t>
  </si>
  <si>
    <t>月使用量（KG）</t>
  </si>
  <si>
    <t>出库</t>
  </si>
  <si>
    <t>入库</t>
  </si>
  <si>
    <t>活化药水</t>
  </si>
  <si>
    <t>核准：</t>
  </si>
  <si>
    <t>审核：</t>
  </si>
  <si>
    <t>注意：以上各浓度管控随端子结构不同会有实时变化，所有参数必须在规定控制范围不可出现超差；</t>
  </si>
  <si>
    <t>T电解脱脂2</t>
  </si>
  <si>
    <t>T电解脱脂3</t>
  </si>
  <si>
    <t>机台</t>
    <phoneticPr fontId="3" type="noConversion"/>
  </si>
  <si>
    <t>超声除油
电解除油</t>
    <phoneticPr fontId="3" type="noConversion"/>
  </si>
  <si>
    <t>备注</t>
    <phoneticPr fontId="3" type="noConversion"/>
  </si>
  <si>
    <r>
      <t>R</t>
    </r>
    <r>
      <rPr>
        <sz val="14"/>
        <color rgb="FF000000"/>
        <rFont val="宋体"/>
        <family val="3"/>
        <charset val="134"/>
      </rPr>
      <t>超声波脱脂</t>
    </r>
    <phoneticPr fontId="3" type="noConversion"/>
  </si>
  <si>
    <r>
      <t>R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1</t>
    </r>
    <phoneticPr fontId="3" type="noConversion"/>
  </si>
  <si>
    <r>
      <t>R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2</t>
    </r>
    <phoneticPr fontId="3" type="noConversion"/>
  </si>
  <si>
    <t>S</t>
    <phoneticPr fontId="3" type="noConversion"/>
  </si>
  <si>
    <r>
      <t>S</t>
    </r>
    <r>
      <rPr>
        <sz val="14"/>
        <color rgb="FF000000"/>
        <rFont val="宋体"/>
        <family val="3"/>
        <charset val="134"/>
      </rPr>
      <t>超声波脱脂</t>
    </r>
    <phoneticPr fontId="3" type="noConversion"/>
  </si>
  <si>
    <r>
      <t>S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1</t>
    </r>
    <phoneticPr fontId="3" type="noConversion"/>
  </si>
  <si>
    <r>
      <t>S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</si>
  <si>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3</t>
    </r>
    <r>
      <rPr>
        <sz val="11"/>
        <color theme="1"/>
        <rFont val="宋体"/>
        <family val="2"/>
        <charset val="134"/>
        <scheme val="minor"/>
      </rPr>
      <t/>
    </r>
  </si>
  <si>
    <t>T</t>
    <phoneticPr fontId="3" type="noConversion"/>
  </si>
  <si>
    <r>
      <t>T</t>
    </r>
    <r>
      <rPr>
        <sz val="14"/>
        <color rgb="FF000000"/>
        <rFont val="宋体"/>
        <family val="3"/>
        <charset val="134"/>
      </rPr>
      <t>超声波脱脂</t>
    </r>
    <phoneticPr fontId="3" type="noConversion"/>
  </si>
  <si>
    <t>T电解脱脂1</t>
    <phoneticPr fontId="3" type="noConversion"/>
  </si>
  <si>
    <t>抛光</t>
    <phoneticPr fontId="3" type="noConversion"/>
  </si>
  <si>
    <t>R</t>
    <phoneticPr fontId="3" type="noConversion"/>
  </si>
  <si>
    <r>
      <t>3212</t>
    </r>
    <r>
      <rPr>
        <sz val="14"/>
        <color rgb="FF000000"/>
        <rFont val="宋体"/>
        <family val="3"/>
        <charset val="134"/>
      </rPr>
      <t>抛光</t>
    </r>
    <phoneticPr fontId="3" type="noConversion"/>
  </si>
  <si>
    <t>活化</t>
    <phoneticPr fontId="3" type="noConversion"/>
  </si>
  <si>
    <t xml:space="preserve"> 表单编号：WM-QR-GC-004/A</t>
    <phoneticPr fontId="3" type="noConversion"/>
  </si>
  <si>
    <t>分析值
(Be°)</t>
    <phoneticPr fontId="3" type="noConversion"/>
  </si>
  <si>
    <t>补加量
(kg)</t>
    <phoneticPr fontId="3" type="noConversion"/>
  </si>
  <si>
    <t>作成：</t>
    <phoneticPr fontId="3" type="noConversion"/>
  </si>
  <si>
    <t>S-1</t>
  </si>
  <si>
    <t>S-2</t>
  </si>
  <si>
    <t>金封孔剂</t>
  </si>
  <si>
    <t>S</t>
  </si>
  <si>
    <t>锡保护</t>
  </si>
  <si>
    <t>锡保护</t>
    <phoneticPr fontId="3" type="noConversion"/>
  </si>
  <si>
    <t>微蚀</t>
    <phoneticPr fontId="3" type="noConversion"/>
  </si>
  <si>
    <t>U</t>
    <phoneticPr fontId="3" type="noConversion"/>
  </si>
  <si>
    <t>金封孔剂</t>
    <phoneticPr fontId="3" type="noConversion"/>
  </si>
  <si>
    <t>封孔剂</t>
  </si>
  <si>
    <t>早</t>
    <phoneticPr fontId="3" type="noConversion"/>
  </si>
  <si>
    <t>晚</t>
    <phoneticPr fontId="3" type="noConversion"/>
  </si>
  <si>
    <t>R</t>
    <phoneticPr fontId="3" type="noConversion"/>
  </si>
  <si>
    <t>R2</t>
    <phoneticPr fontId="3" type="noConversion"/>
  </si>
  <si>
    <r>
      <t>R1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</si>
  <si>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R1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</si>
  <si>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R2</t>
    </r>
    <r>
      <rPr>
        <sz val="14"/>
        <color rgb="FF000000"/>
        <rFont val="宋体"/>
        <family val="3"/>
        <charset val="134"/>
      </rPr>
      <t>预镀镍</t>
    </r>
    <phoneticPr fontId="3" type="noConversion"/>
  </si>
  <si>
    <r>
      <t>R2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</si>
  <si>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R2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</si>
  <si>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R2</t>
    </r>
    <r>
      <rPr>
        <sz val="14"/>
        <color rgb="FF000000"/>
        <rFont val="宋体"/>
        <family val="3"/>
        <charset val="134"/>
      </rPr>
      <t>预镀钯</t>
    </r>
    <phoneticPr fontId="3" type="noConversion"/>
  </si>
  <si>
    <r>
      <t>S1</t>
    </r>
    <r>
      <rPr>
        <sz val="14"/>
        <color rgb="FF000000"/>
        <rFont val="宋体"/>
        <family val="3"/>
        <charset val="134"/>
      </rPr>
      <t>预镀镍</t>
    </r>
    <phoneticPr fontId="3" type="noConversion"/>
  </si>
  <si>
    <r>
      <t>S1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</si>
  <si>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S2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</si>
  <si>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S</t>
    </r>
    <r>
      <rPr>
        <sz val="14"/>
        <color rgb="FF000000"/>
        <rFont val="宋体"/>
        <family val="3"/>
        <charset val="134"/>
      </rPr>
      <t>预镀钯</t>
    </r>
    <phoneticPr fontId="3" type="noConversion"/>
  </si>
  <si>
    <r>
      <t>S2</t>
    </r>
    <r>
      <rPr>
        <sz val="14"/>
        <color rgb="FF000000"/>
        <rFont val="宋体"/>
        <family val="3"/>
        <charset val="134"/>
      </rPr>
      <t>修正镍</t>
    </r>
    <phoneticPr fontId="3" type="noConversion"/>
  </si>
  <si>
    <r>
      <t>T1</t>
    </r>
    <r>
      <rPr>
        <sz val="14"/>
        <color rgb="FF000000"/>
        <rFont val="宋体"/>
        <family val="3"/>
        <charset val="134"/>
      </rPr>
      <t>预镀镍</t>
    </r>
    <phoneticPr fontId="3" type="noConversion"/>
  </si>
  <si>
    <r>
      <t>T1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</si>
  <si>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T1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</si>
  <si>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T</t>
    </r>
    <r>
      <rPr>
        <sz val="14"/>
        <color rgb="FF000000"/>
        <rFont val="宋体"/>
        <family val="3"/>
        <charset val="134"/>
      </rPr>
      <t>预镀钯</t>
    </r>
    <phoneticPr fontId="3" type="noConversion"/>
  </si>
  <si>
    <r>
      <t>T2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</si>
  <si>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T2</t>
    </r>
    <r>
      <rPr>
        <sz val="14"/>
        <color rgb="FF000000"/>
        <rFont val="宋体"/>
        <family val="3"/>
        <charset val="134"/>
      </rPr>
      <t>镍钨</t>
    </r>
    <phoneticPr fontId="3" type="noConversion"/>
  </si>
  <si>
    <r>
      <t>T2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</si>
  <si>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U1</t>
    </r>
    <r>
      <rPr>
        <sz val="14"/>
        <color rgb="FF000000"/>
        <rFont val="宋体"/>
        <family val="3"/>
        <charset val="134"/>
      </rPr>
      <t>预镀镍</t>
    </r>
    <phoneticPr fontId="3" type="noConversion"/>
  </si>
  <si>
    <r>
      <t>U1</t>
    </r>
    <r>
      <rPr>
        <sz val="14"/>
        <color rgb="FF000000"/>
        <rFont val="宋体"/>
        <family val="3"/>
        <charset val="134"/>
      </rPr>
      <t>修正镍</t>
    </r>
    <phoneticPr fontId="3" type="noConversion"/>
  </si>
  <si>
    <r>
      <t>U1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</si>
  <si>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U1</t>
    </r>
    <r>
      <rPr>
        <sz val="14"/>
        <color rgb="FF000000"/>
        <rFont val="宋体"/>
        <family val="3"/>
        <charset val="134"/>
      </rPr>
      <t>雾镍</t>
    </r>
    <phoneticPr fontId="3" type="noConversion"/>
  </si>
  <si>
    <r>
      <t>U1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</si>
  <si>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U2</t>
    </r>
    <r>
      <rPr>
        <sz val="14"/>
        <color rgb="FF000000"/>
        <rFont val="宋体"/>
        <family val="3"/>
        <charset val="134"/>
      </rPr>
      <t>预镀镍</t>
    </r>
    <phoneticPr fontId="3" type="noConversion"/>
  </si>
  <si>
    <r>
      <t>U2</t>
    </r>
    <r>
      <rPr>
        <sz val="14"/>
        <color rgb="FF000000"/>
        <rFont val="宋体"/>
        <family val="3"/>
        <charset val="134"/>
      </rPr>
      <t>修正镍</t>
    </r>
    <phoneticPr fontId="3" type="noConversion"/>
  </si>
  <si>
    <r>
      <t>U2</t>
    </r>
    <r>
      <rPr>
        <sz val="14"/>
        <color rgb="FF000000"/>
        <rFont val="宋体"/>
        <family val="3"/>
        <charset val="134"/>
      </rPr>
      <t>雾镍</t>
    </r>
    <phoneticPr fontId="3" type="noConversion"/>
  </si>
  <si>
    <r>
      <t>U2</t>
    </r>
    <r>
      <rPr>
        <sz val="14"/>
        <color rgb="FF000000"/>
        <rFont val="宋体"/>
        <family val="3"/>
        <charset val="134"/>
      </rPr>
      <t>普镍</t>
    </r>
    <phoneticPr fontId="3" type="noConversion"/>
  </si>
  <si>
    <r>
      <t>U2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</si>
  <si>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t>分析值
(Be°/PH)</t>
    <phoneticPr fontId="3" type="noConversion"/>
  </si>
  <si>
    <r>
      <rPr>
        <b/>
        <sz val="14"/>
        <rFont val="宋体"/>
        <family val="3"/>
        <charset val="134"/>
      </rPr>
      <t>万明电镀智能科技（东莞）有限公司</t>
    </r>
    <r>
      <rPr>
        <sz val="14"/>
        <rFont val="宋体"/>
        <family val="3"/>
        <charset val="134"/>
      </rPr>
      <t xml:space="preserve">          
                 镍槽分析报表                 日期：                  </t>
    </r>
    <phoneticPr fontId="3" type="noConversion"/>
  </si>
  <si>
    <r>
      <rPr>
        <b/>
        <sz val="14"/>
        <rFont val="宋体"/>
        <family val="3"/>
        <charset val="134"/>
      </rPr>
      <t>万明电镀智能科技（东莞）有限公司</t>
    </r>
    <r>
      <rPr>
        <sz val="14"/>
        <rFont val="宋体"/>
        <family val="3"/>
        <charset val="134"/>
      </rPr>
      <t xml:space="preserve">          
                   前处理分析报表                日期：   </t>
    </r>
    <phoneticPr fontId="3" type="noConversion"/>
  </si>
  <si>
    <r>
      <t>S</t>
    </r>
    <r>
      <rPr>
        <sz val="14"/>
        <color rgb="FF000000"/>
        <rFont val="宋体"/>
        <family val="3"/>
        <charset val="134"/>
      </rPr>
      <t>高温镍</t>
    </r>
    <phoneticPr fontId="3" type="noConversion"/>
  </si>
  <si>
    <r>
      <t>U</t>
    </r>
    <r>
      <rPr>
        <sz val="14"/>
        <color rgb="FF000000"/>
        <rFont val="宋体"/>
        <family val="3"/>
        <charset val="134"/>
      </rPr>
      <t>超声波脱脂</t>
    </r>
    <phoneticPr fontId="3" type="noConversion"/>
  </si>
  <si>
    <r>
      <t>U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1</t>
    </r>
    <phoneticPr fontId="3" type="noConversion"/>
  </si>
  <si>
    <r>
      <t>U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</si>
  <si>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U</t>
    </r>
    <r>
      <rPr>
        <sz val="14"/>
        <color rgb="FF000000"/>
        <rFont val="宋体"/>
        <family val="3"/>
        <charset val="134"/>
      </rPr>
      <t>电解脱脂</t>
    </r>
    <r>
      <rPr>
        <sz val="14"/>
        <color rgb="FF000000"/>
        <rFont val="Times New Roman"/>
        <family val="1"/>
      </rPr>
      <t>3</t>
    </r>
    <r>
      <rPr>
        <sz val="11"/>
        <color theme="1"/>
        <rFont val="宋体"/>
        <family val="2"/>
        <charset val="134"/>
        <scheme val="minor"/>
      </rPr>
      <t/>
    </r>
  </si>
  <si>
    <t>U3</t>
    <phoneticPr fontId="3" type="noConversion"/>
  </si>
  <si>
    <t>U1U2</t>
    <phoneticPr fontId="3" type="noConversion"/>
  </si>
  <si>
    <t>U3U4</t>
    <phoneticPr fontId="3" type="noConversion"/>
  </si>
  <si>
    <t>S1S2</t>
    <phoneticPr fontId="3" type="noConversion"/>
  </si>
  <si>
    <t>T1T2</t>
    <phoneticPr fontId="3" type="noConversion"/>
  </si>
  <si>
    <t>水封</t>
    <phoneticPr fontId="3" type="noConversion"/>
  </si>
</sst>
</file>

<file path=xl/styles.xml><?xml version="1.0" encoding="utf-8"?>
<styleSheet xmlns="http://schemas.openxmlformats.org/spreadsheetml/2006/main">
  <numFmts count="4">
    <numFmt numFmtId="176" formatCode="0_ "/>
    <numFmt numFmtId="177" formatCode="0.00_ "/>
    <numFmt numFmtId="178" formatCode="m/d;@"/>
    <numFmt numFmtId="179" formatCode="0.0_ "/>
  </numFmts>
  <fonts count="16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b/>
      <sz val="9"/>
      <name val="Times New Roman"/>
      <family val="1"/>
    </font>
    <font>
      <sz val="9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9"/>
      <name val="宋体"/>
      <family val="3"/>
      <charset val="134"/>
    </font>
    <font>
      <b/>
      <sz val="18"/>
      <color indexed="10"/>
      <name val="Times New Roman"/>
      <family val="1"/>
    </font>
    <font>
      <sz val="10.5"/>
      <name val="Times New Roman"/>
      <family val="1"/>
    </font>
    <font>
      <b/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i/>
      <sz val="12"/>
      <name val="宋体"/>
      <family val="3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ont="1">
      <alignment vertical="center"/>
    </xf>
    <xf numFmtId="0" fontId="0" fillId="3" borderId="0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0" fillId="5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/>
    </xf>
    <xf numFmtId="176" fontId="0" fillId="3" borderId="0" xfId="0" applyNumberFormat="1" applyFont="1" applyFill="1" applyBorder="1" applyAlignment="1">
      <alignment horizontal="center" vertical="center"/>
    </xf>
    <xf numFmtId="179" fontId="0" fillId="3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78" fontId="0" fillId="6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38" fontId="8" fillId="4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179" fontId="0" fillId="5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3" borderId="0" xfId="0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9" fontId="0" fillId="0" borderId="0" xfId="0" applyNumberFormat="1" applyFont="1">
      <alignment vertical="center"/>
    </xf>
    <xf numFmtId="0" fontId="0" fillId="3" borderId="0" xfId="0" applyFill="1">
      <alignment vertical="center"/>
    </xf>
    <xf numFmtId="0" fontId="10" fillId="0" borderId="0" xfId="0" applyFont="1">
      <alignment vertical="center"/>
    </xf>
    <xf numFmtId="179" fontId="0" fillId="0" borderId="0" xfId="0" applyNumberFormat="1">
      <alignment vertical="center"/>
    </xf>
    <xf numFmtId="0" fontId="12" fillId="0" borderId="0" xfId="0" applyFo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2" fillId="0" borderId="7" xfId="0" applyFont="1" applyBorder="1">
      <alignment vertical="center"/>
    </xf>
    <xf numFmtId="0" fontId="12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7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16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0</xdr:row>
      <xdr:rowOff>57150</xdr:rowOff>
    </xdr:from>
    <xdr:to>
      <xdr:col>2</xdr:col>
      <xdr:colOff>581025</xdr:colOff>
      <xdr:row>1</xdr:row>
      <xdr:rowOff>133350</xdr:rowOff>
    </xdr:to>
    <xdr:pic>
      <xdr:nvPicPr>
        <xdr:cNvPr id="2" name="Picture 443" descr="万明LOGO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1600" y="57150"/>
          <a:ext cx="3333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47625</xdr:rowOff>
    </xdr:from>
    <xdr:to>
      <xdr:col>2</xdr:col>
      <xdr:colOff>28575</xdr:colOff>
      <xdr:row>1</xdr:row>
      <xdr:rowOff>123825</xdr:rowOff>
    </xdr:to>
    <xdr:pic>
      <xdr:nvPicPr>
        <xdr:cNvPr id="2" name="Picture 443" descr="万明LOGO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38250" y="47625"/>
          <a:ext cx="3333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952500</xdr:colOff>
      <xdr:row>21</xdr:row>
      <xdr:rowOff>28575</xdr:rowOff>
    </xdr:from>
    <xdr:to>
      <xdr:col>2</xdr:col>
      <xdr:colOff>790575</xdr:colOff>
      <xdr:row>22</xdr:row>
      <xdr:rowOff>0</xdr:rowOff>
    </xdr:to>
    <xdr:cxnSp macro="">
      <xdr:nvCxnSpPr>
        <xdr:cNvPr id="3" name="直接连接符 2"/>
        <xdr:cNvCxnSpPr/>
      </xdr:nvCxnSpPr>
      <xdr:spPr>
        <a:xfrm flipV="1">
          <a:off x="1514475" y="5943600"/>
          <a:ext cx="819150" cy="238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workbookViewId="0">
      <pane xSplit="3" ySplit="2" topLeftCell="D3" activePane="bottomRight" state="frozen"/>
      <selection pane="topRight"/>
      <selection pane="bottomLeft"/>
      <selection pane="bottomRight" activeCell="E30" sqref="E30"/>
    </sheetView>
  </sheetViews>
  <sheetFormatPr defaultColWidth="9" defaultRowHeight="14.25"/>
  <cols>
    <col min="1" max="1" width="10" customWidth="1"/>
    <col min="2" max="2" width="7.5" style="1" customWidth="1"/>
    <col min="3" max="3" width="15.25" style="1" customWidth="1"/>
    <col min="4" max="4" width="8.625" customWidth="1"/>
    <col min="5" max="14" width="5.625" customWidth="1"/>
    <col min="15" max="15" width="7.25" customWidth="1"/>
    <col min="16" max="20" width="5.625" customWidth="1"/>
    <col min="21" max="21" width="8.5" customWidth="1"/>
    <col min="22" max="27" width="5.625" customWidth="1"/>
    <col min="28" max="28" width="5.875" customWidth="1"/>
    <col min="29" max="34" width="5.625" customWidth="1"/>
    <col min="35" max="35" width="6.625" customWidth="1"/>
  </cols>
  <sheetData>
    <row r="1" spans="1:44">
      <c r="A1" s="8"/>
      <c r="B1" s="9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37"/>
      <c r="AJ1" s="40"/>
      <c r="AK1" s="6"/>
      <c r="AL1" s="6"/>
      <c r="AM1" s="6"/>
      <c r="AN1" s="6"/>
      <c r="AO1" s="6"/>
      <c r="AP1" s="6"/>
      <c r="AQ1" s="6"/>
      <c r="AR1" s="6"/>
    </row>
    <row r="2" spans="1:44" ht="15" customHeight="1">
      <c r="A2" s="10" t="s">
        <v>1</v>
      </c>
      <c r="B2" s="10" t="s">
        <v>2</v>
      </c>
      <c r="C2" s="10" t="s">
        <v>3</v>
      </c>
      <c r="D2" s="11">
        <v>42826</v>
      </c>
      <c r="E2" s="11">
        <v>42827</v>
      </c>
      <c r="F2" s="11">
        <v>42828</v>
      </c>
      <c r="G2" s="11">
        <v>42829</v>
      </c>
      <c r="H2" s="11">
        <v>42830</v>
      </c>
      <c r="I2" s="11">
        <v>42831</v>
      </c>
      <c r="J2" s="11">
        <v>42832</v>
      </c>
      <c r="K2" s="11">
        <v>42833</v>
      </c>
      <c r="L2" s="11">
        <v>42834</v>
      </c>
      <c r="M2" s="11">
        <v>42835</v>
      </c>
      <c r="N2" s="11">
        <v>42836</v>
      </c>
      <c r="O2" s="11">
        <v>42837</v>
      </c>
      <c r="P2" s="11">
        <v>42838</v>
      </c>
      <c r="Q2" s="11">
        <v>42839</v>
      </c>
      <c r="R2" s="11">
        <v>42840</v>
      </c>
      <c r="S2" s="11">
        <v>42841</v>
      </c>
      <c r="T2" s="11">
        <v>42842</v>
      </c>
      <c r="U2" s="11">
        <v>42843</v>
      </c>
      <c r="V2" s="11">
        <v>42844</v>
      </c>
      <c r="W2" s="11">
        <v>42845</v>
      </c>
      <c r="X2" s="11">
        <v>42846</v>
      </c>
      <c r="Y2" s="11">
        <v>42847</v>
      </c>
      <c r="Z2" s="11">
        <v>42848</v>
      </c>
      <c r="AA2" s="11">
        <v>42849</v>
      </c>
      <c r="AB2" s="11">
        <v>42850</v>
      </c>
      <c r="AC2" s="11">
        <v>42851</v>
      </c>
      <c r="AD2" s="11">
        <v>42852</v>
      </c>
      <c r="AE2" s="11">
        <v>42853</v>
      </c>
      <c r="AF2" s="11">
        <v>42854</v>
      </c>
      <c r="AG2" s="11">
        <v>42855</v>
      </c>
      <c r="AH2" s="11"/>
      <c r="AJ2" s="40"/>
      <c r="AK2" s="6"/>
      <c r="AL2" s="6"/>
      <c r="AM2" s="6"/>
      <c r="AN2" s="6"/>
      <c r="AO2" s="6"/>
      <c r="AP2" s="6"/>
      <c r="AQ2" s="6"/>
      <c r="AR2" s="6"/>
    </row>
    <row r="3" spans="1:44" s="6" customFormat="1" ht="14.25" customHeight="1">
      <c r="A3" s="4"/>
      <c r="B3" s="10"/>
      <c r="C3" s="12">
        <f>SUM(D3:AH3)</f>
        <v>0</v>
      </c>
      <c r="D3" s="12">
        <f>分析记录4.1!$H6</f>
        <v>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J3" s="40"/>
    </row>
    <row r="4" spans="1:44" s="6" customFormat="1">
      <c r="A4" s="4"/>
      <c r="B4" s="10"/>
      <c r="C4" s="12" t="e">
        <f t="shared" ref="C4:C27" si="0">SUM(D4:AH4)</f>
        <v>#REF!</v>
      </c>
      <c r="D4" s="12" t="e">
        <f>分析记录4.1!#REF!</f>
        <v>#REF!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J4" s="40"/>
    </row>
    <row r="5" spans="1:44" s="6" customFormat="1">
      <c r="A5" s="4"/>
      <c r="B5" s="10"/>
      <c r="C5" s="12" t="e">
        <f t="shared" si="0"/>
        <v>#REF!</v>
      </c>
      <c r="D5" s="12" t="e">
        <f>分析记录4.1!#REF!</f>
        <v>#REF!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J5" s="40"/>
    </row>
    <row r="6" spans="1:44" s="6" customFormat="1">
      <c r="A6" s="4"/>
      <c r="B6" s="10"/>
      <c r="C6" s="12" t="e">
        <f t="shared" si="0"/>
        <v>#REF!</v>
      </c>
      <c r="D6" s="12" t="e">
        <f>分析记录4.1!#REF!</f>
        <v>#REF!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J6" s="40"/>
    </row>
    <row r="7" spans="1:44" s="6" customFormat="1">
      <c r="A7" s="4"/>
      <c r="B7" s="10"/>
      <c r="C7" s="12">
        <f t="shared" si="0"/>
        <v>0</v>
      </c>
      <c r="D7" s="12">
        <f>分析记录4.1!$H8</f>
        <v>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J7" s="40"/>
    </row>
    <row r="8" spans="1:44" s="6" customFormat="1" ht="15.75" customHeight="1">
      <c r="A8" s="4"/>
      <c r="B8" s="10"/>
      <c r="C8" s="12">
        <f t="shared" si="0"/>
        <v>0</v>
      </c>
      <c r="D8" s="12">
        <f>分析记录4.1!$H9</f>
        <v>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J8" s="40"/>
    </row>
    <row r="9" spans="1:44" s="6" customFormat="1">
      <c r="A9" s="4"/>
      <c r="B9" s="10"/>
      <c r="C9" s="12">
        <f t="shared" si="0"/>
        <v>0</v>
      </c>
      <c r="D9" s="12">
        <f>分析记录4.1!$H10</f>
        <v>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J9" s="40"/>
    </row>
    <row r="10" spans="1:44" s="6" customFormat="1">
      <c r="A10" s="4"/>
      <c r="B10" s="10"/>
      <c r="C10" s="12">
        <f t="shared" si="0"/>
        <v>0</v>
      </c>
      <c r="D10" s="12">
        <f>分析记录4.1!$H11</f>
        <v>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44" s="6" customFormat="1">
      <c r="A11" s="13"/>
      <c r="B11" s="10"/>
      <c r="C11" s="12">
        <f t="shared" si="0"/>
        <v>0</v>
      </c>
      <c r="D11" s="12">
        <f>分析记录4.1!$H12</f>
        <v>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44" s="6" customFormat="1">
      <c r="A12" s="13"/>
      <c r="B12" s="10"/>
      <c r="C12" s="12">
        <f t="shared" si="0"/>
        <v>0</v>
      </c>
      <c r="D12" s="12">
        <f>分析记录4.1!$H13</f>
        <v>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44" s="6" customFormat="1">
      <c r="A13" s="13"/>
      <c r="B13" s="10"/>
      <c r="C13" s="12">
        <f t="shared" si="0"/>
        <v>0</v>
      </c>
      <c r="D13" s="12">
        <f>分析记录4.1!$H14</f>
        <v>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44" s="6" customFormat="1">
      <c r="A14" s="13"/>
      <c r="B14" s="10"/>
      <c r="C14" s="12">
        <f t="shared" si="0"/>
        <v>0</v>
      </c>
      <c r="D14" s="12">
        <f>分析记录4.1!$H15</f>
        <v>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3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44" s="6" customFormat="1">
      <c r="A15" s="13"/>
      <c r="B15" s="10"/>
      <c r="C15" s="12">
        <f t="shared" si="0"/>
        <v>0</v>
      </c>
      <c r="D15" s="12">
        <f>分析记录4.1!$H24</f>
        <v>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44" s="6" customFormat="1">
      <c r="A16" s="13"/>
      <c r="B16" s="10"/>
      <c r="C16" s="12" t="e">
        <f t="shared" si="0"/>
        <v>#REF!</v>
      </c>
      <c r="D16" s="12" t="e">
        <f>分析记录4.1!#REF!</f>
        <v>#REF!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51" s="6" customFormat="1" ht="12.75" customHeight="1">
      <c r="A17" s="4"/>
      <c r="B17" s="10"/>
      <c r="C17" s="12" t="e">
        <f t="shared" si="0"/>
        <v>#REF!</v>
      </c>
      <c r="D17" s="12" t="e">
        <f>分析记录4.1!#REF!</f>
        <v>#REF!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</row>
    <row r="18" spans="1:51" s="6" customFormat="1" ht="12.75" customHeight="1">
      <c r="A18" s="4"/>
      <c r="B18" s="10"/>
      <c r="C18" s="12">
        <f t="shared" si="0"/>
        <v>0</v>
      </c>
      <c r="D18" s="12">
        <f>分析记录4.1!$H29</f>
        <v>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3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Y18" s="12" t="e">
        <f>#REF!</f>
        <v>#REF!</v>
      </c>
    </row>
    <row r="19" spans="1:51" s="6" customFormat="1" ht="12.75" customHeight="1">
      <c r="A19" s="4"/>
      <c r="B19" s="10"/>
      <c r="C19" s="12">
        <f t="shared" si="0"/>
        <v>0</v>
      </c>
      <c r="D19" s="12">
        <f>分析记录4.1!$H30</f>
        <v>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38"/>
      <c r="AG19" s="12"/>
      <c r="AH19" s="12"/>
    </row>
    <row r="20" spans="1:51" s="6" customFormat="1">
      <c r="A20" s="4"/>
      <c r="B20" s="10"/>
      <c r="C20" s="12">
        <f t="shared" si="0"/>
        <v>0</v>
      </c>
      <c r="D20" s="12">
        <f>分析记录4.1!$H31</f>
        <v>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</row>
    <row r="21" spans="1:51" s="6" customFormat="1">
      <c r="A21" s="4"/>
      <c r="B21" s="10"/>
      <c r="C21" s="12" t="e">
        <f t="shared" si="0"/>
        <v>#REF!</v>
      </c>
      <c r="D21" s="12" t="e">
        <f>分析记录4.1!#REF!</f>
        <v>#REF!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3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</row>
    <row r="22" spans="1:51" s="6" customFormat="1">
      <c r="A22" s="4"/>
      <c r="B22" s="10"/>
      <c r="C22" s="12" t="e">
        <f t="shared" si="0"/>
        <v>#REF!</v>
      </c>
      <c r="D22" s="12" t="e">
        <f>分析记录4.1!#REF!</f>
        <v>#REF!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spans="1:51" s="6" customFormat="1">
      <c r="A23" s="4"/>
      <c r="B23" s="10"/>
      <c r="C23" s="12" t="e">
        <f t="shared" si="0"/>
        <v>#REF!</v>
      </c>
      <c r="D23" s="12" t="e">
        <f>分析记录4.1!#REF!</f>
        <v>#REF!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51" s="6" customFormat="1">
      <c r="A24" s="4"/>
      <c r="B24" s="10"/>
      <c r="C24" s="12" t="e">
        <f t="shared" si="0"/>
        <v>#REF!</v>
      </c>
      <c r="D24" s="12" t="e">
        <f>分析记录4.1!#REF!</f>
        <v>#REF!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spans="1:51" s="6" customFormat="1">
      <c r="A25" s="4"/>
      <c r="B25" s="10"/>
      <c r="C25" s="12" t="e">
        <f t="shared" si="0"/>
        <v>#REF!</v>
      </c>
      <c r="D25" s="12" t="e">
        <f>分析记录4.1!#REF!</f>
        <v>#REF!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</row>
    <row r="26" spans="1:51" s="6" customFormat="1">
      <c r="A26" s="4"/>
      <c r="B26" s="10"/>
      <c r="C26" s="12" t="e">
        <f t="shared" si="0"/>
        <v>#REF!</v>
      </c>
      <c r="D26" s="12" t="e">
        <f>分析记录4.1!#REF!</f>
        <v>#REF!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J26"/>
      <c r="AK26"/>
      <c r="AL26"/>
      <c r="AM26"/>
      <c r="AN26"/>
      <c r="AO26"/>
      <c r="AP26"/>
      <c r="AQ26"/>
      <c r="AR26"/>
    </row>
    <row r="27" spans="1:51" s="6" customFormat="1">
      <c r="A27" s="4"/>
      <c r="B27" s="10"/>
      <c r="C27" s="12" t="e">
        <f t="shared" si="0"/>
        <v>#REF!</v>
      </c>
      <c r="D27" s="12" t="e">
        <f>分析记录4.1!#REF!</f>
        <v>#REF!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3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J27"/>
      <c r="AK27"/>
      <c r="AL27"/>
      <c r="AM27"/>
      <c r="AN27"/>
      <c r="AO27"/>
      <c r="AP27"/>
      <c r="AQ27"/>
      <c r="AR27"/>
    </row>
    <row r="28" spans="1:51">
      <c r="A28" s="69" t="e">
        <f>C29-C28</f>
        <v>#REF!</v>
      </c>
      <c r="B28" s="10" t="s">
        <v>4</v>
      </c>
      <c r="C28" s="14" t="e">
        <f t="shared" ref="C28:AH28" si="1">SUM(C3:C27)</f>
        <v>#REF!</v>
      </c>
      <c r="D28" s="14" t="e">
        <f t="shared" si="1"/>
        <v>#REF!</v>
      </c>
      <c r="E28" s="14">
        <f t="shared" si="1"/>
        <v>0</v>
      </c>
      <c r="F28" s="14">
        <f t="shared" si="1"/>
        <v>0</v>
      </c>
      <c r="G28" s="14">
        <f t="shared" si="1"/>
        <v>0</v>
      </c>
      <c r="H28" s="14">
        <f t="shared" si="1"/>
        <v>0</v>
      </c>
      <c r="I28" s="14">
        <f t="shared" si="1"/>
        <v>0</v>
      </c>
      <c r="J28" s="14">
        <f t="shared" si="1"/>
        <v>0</v>
      </c>
      <c r="K28" s="14">
        <f t="shared" si="1"/>
        <v>0</v>
      </c>
      <c r="L28" s="14">
        <f t="shared" si="1"/>
        <v>0</v>
      </c>
      <c r="M28" s="14">
        <f t="shared" si="1"/>
        <v>0</v>
      </c>
      <c r="N28" s="14">
        <f t="shared" si="1"/>
        <v>0</v>
      </c>
      <c r="O28" s="33">
        <f t="shared" si="1"/>
        <v>0</v>
      </c>
      <c r="P28" s="14">
        <f t="shared" si="1"/>
        <v>0</v>
      </c>
      <c r="Q28" s="14">
        <f t="shared" si="1"/>
        <v>0</v>
      </c>
      <c r="R28" s="14">
        <f t="shared" si="1"/>
        <v>0</v>
      </c>
      <c r="S28" s="14">
        <f t="shared" si="1"/>
        <v>0</v>
      </c>
      <c r="T28" s="14">
        <f t="shared" si="1"/>
        <v>0</v>
      </c>
      <c r="U28" s="14">
        <f t="shared" si="1"/>
        <v>0</v>
      </c>
      <c r="V28" s="14">
        <f t="shared" si="1"/>
        <v>0</v>
      </c>
      <c r="W28" s="14">
        <f t="shared" si="1"/>
        <v>0</v>
      </c>
      <c r="X28" s="14">
        <f t="shared" si="1"/>
        <v>0</v>
      </c>
      <c r="Y28" s="14">
        <f t="shared" si="1"/>
        <v>0</v>
      </c>
      <c r="Z28" s="14">
        <f t="shared" si="1"/>
        <v>0</v>
      </c>
      <c r="AA28" s="14">
        <f t="shared" si="1"/>
        <v>0</v>
      </c>
      <c r="AB28" s="14">
        <f t="shared" si="1"/>
        <v>0</v>
      </c>
      <c r="AC28" s="14">
        <f t="shared" si="1"/>
        <v>0</v>
      </c>
      <c r="AD28" s="14">
        <f t="shared" si="1"/>
        <v>0</v>
      </c>
      <c r="AE28" s="14">
        <f t="shared" si="1"/>
        <v>0</v>
      </c>
      <c r="AF28" s="14">
        <f t="shared" si="1"/>
        <v>0</v>
      </c>
      <c r="AG28" s="14">
        <f t="shared" si="1"/>
        <v>0</v>
      </c>
      <c r="AH28" s="14">
        <f t="shared" si="1"/>
        <v>0</v>
      </c>
      <c r="AJ28" s="41"/>
      <c r="AK28" s="41"/>
      <c r="AL28" s="41"/>
      <c r="AM28" s="41"/>
      <c r="AN28" s="41"/>
      <c r="AO28" s="41"/>
      <c r="AP28" s="41"/>
      <c r="AQ28" s="41"/>
      <c r="AR28" s="41"/>
    </row>
    <row r="29" spans="1:51">
      <c r="A29" s="70"/>
      <c r="B29" s="10" t="s">
        <v>5</v>
      </c>
      <c r="C29" s="14">
        <f>SUM($D$29:$AH$29)</f>
        <v>0</v>
      </c>
      <c r="D29" s="12"/>
      <c r="E29" s="15"/>
      <c r="F29" s="16"/>
      <c r="G29" s="16"/>
      <c r="H29" s="17"/>
      <c r="I29" s="17"/>
      <c r="J29" s="10"/>
      <c r="K29" s="10"/>
      <c r="L29" s="10"/>
      <c r="M29" s="12"/>
      <c r="N29" s="34"/>
      <c r="O29" s="12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6"/>
      <c r="AF29" s="16"/>
      <c r="AG29" s="16"/>
      <c r="AH29" s="16"/>
      <c r="AJ29" s="41"/>
      <c r="AK29" s="41"/>
      <c r="AL29" s="41"/>
      <c r="AM29" s="41"/>
      <c r="AN29" s="41"/>
      <c r="AO29" s="41"/>
      <c r="AP29" s="41"/>
      <c r="AQ29" s="41"/>
      <c r="AR29" s="41"/>
    </row>
    <row r="30" spans="1:51" s="7" customFormat="1" ht="22.5">
      <c r="A30" s="18"/>
      <c r="B30" s="19"/>
      <c r="C30" s="20"/>
      <c r="D30" s="21"/>
      <c r="E30" s="20"/>
      <c r="F30" s="19"/>
      <c r="G30" s="19"/>
      <c r="H30" s="19"/>
      <c r="I30" s="19"/>
      <c r="J30" s="19"/>
      <c r="K30" s="19"/>
      <c r="L30" s="19"/>
      <c r="M30" s="21"/>
      <c r="N30" s="35"/>
      <c r="O30" s="21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</row>
    <row r="31" spans="1:51" s="7" customFormat="1" ht="22.5">
      <c r="A31" s="18"/>
      <c r="B31" s="19"/>
      <c r="C31" s="20"/>
      <c r="D31" s="21"/>
      <c r="E31" s="20"/>
      <c r="F31" s="19"/>
      <c r="G31" s="19"/>
      <c r="H31" s="19"/>
      <c r="I31" s="19"/>
      <c r="J31" s="19"/>
      <c r="K31" s="19"/>
      <c r="L31" s="19"/>
      <c r="M31" s="21"/>
      <c r="N31" s="35"/>
      <c r="O31" s="21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51" s="7" customFormat="1" ht="22.5">
      <c r="A32" s="18"/>
      <c r="B32" s="19"/>
      <c r="C32" s="20"/>
      <c r="D32" s="21"/>
      <c r="E32" s="20"/>
      <c r="F32" s="19"/>
      <c r="G32" s="19"/>
      <c r="H32" s="19"/>
      <c r="I32" s="19"/>
      <c r="J32" s="19"/>
      <c r="K32" s="19"/>
      <c r="L32" s="19"/>
      <c r="M32" s="21"/>
      <c r="N32" s="35"/>
      <c r="O32" s="21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6" ht="22.5">
      <c r="A33" s="22"/>
      <c r="B33" s="23" t="s">
        <v>6</v>
      </c>
      <c r="C33" s="24"/>
      <c r="D33" s="12"/>
      <c r="E33" s="12"/>
      <c r="F33" s="16"/>
      <c r="G33" s="16"/>
      <c r="H33" s="16"/>
      <c r="I33" s="16"/>
      <c r="J33" s="16"/>
      <c r="K33" s="16"/>
      <c r="L33" s="16"/>
      <c r="M33" s="12"/>
      <c r="N33" s="34"/>
      <c r="O33" s="12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6" ht="14.25" customHeight="1">
      <c r="A34" s="25" t="s">
        <v>1</v>
      </c>
      <c r="B34" s="25" t="s">
        <v>2</v>
      </c>
      <c r="C34" s="25" t="s">
        <v>3</v>
      </c>
      <c r="D34" s="26">
        <v>42826</v>
      </c>
      <c r="E34" s="26">
        <v>42827</v>
      </c>
      <c r="F34" s="26">
        <v>42828</v>
      </c>
      <c r="G34" s="26">
        <v>42829</v>
      </c>
      <c r="H34" s="26">
        <v>42830</v>
      </c>
      <c r="I34" s="26">
        <v>42831</v>
      </c>
      <c r="J34" s="26">
        <v>42832</v>
      </c>
      <c r="K34" s="26">
        <v>42833</v>
      </c>
      <c r="L34" s="26">
        <v>42834</v>
      </c>
      <c r="M34" s="26">
        <v>42835</v>
      </c>
      <c r="N34" s="26">
        <v>42836</v>
      </c>
      <c r="O34" s="26">
        <v>42837</v>
      </c>
      <c r="P34" s="26">
        <v>42838</v>
      </c>
      <c r="Q34" s="26">
        <v>42839</v>
      </c>
      <c r="R34" s="26">
        <v>42840</v>
      </c>
      <c r="S34" s="26">
        <v>42841</v>
      </c>
      <c r="T34" s="26">
        <v>42842</v>
      </c>
      <c r="U34" s="26">
        <v>42843</v>
      </c>
      <c r="V34" s="26">
        <v>42844</v>
      </c>
      <c r="W34" s="26">
        <v>42845</v>
      </c>
      <c r="X34" s="26">
        <v>42846</v>
      </c>
      <c r="Y34" s="26">
        <v>42847</v>
      </c>
      <c r="Z34" s="26">
        <v>42848</v>
      </c>
      <c r="AA34" s="26">
        <v>42849</v>
      </c>
      <c r="AB34" s="26">
        <v>42850</v>
      </c>
      <c r="AC34" s="26">
        <v>42851</v>
      </c>
      <c r="AD34" s="26">
        <v>42852</v>
      </c>
      <c r="AE34" s="26">
        <v>42853</v>
      </c>
      <c r="AF34" s="26">
        <v>42854</v>
      </c>
      <c r="AG34" s="26">
        <v>42855</v>
      </c>
      <c r="AH34" s="25"/>
      <c r="AJ34" s="42"/>
    </row>
    <row r="35" spans="1:36" ht="14.25" customHeight="1">
      <c r="A35" s="4"/>
      <c r="B35" s="2"/>
      <c r="C35" s="27" t="e">
        <f>SUM(D35:AH35)</f>
        <v>#REF!</v>
      </c>
      <c r="D35" s="16" t="e">
        <f>分析记录4.1!#REF!</f>
        <v>#REF!</v>
      </c>
      <c r="E35" s="16" t="e">
        <f>分析记录4.1!#REF!</f>
        <v>#REF!</v>
      </c>
      <c r="F35" s="16" t="e">
        <f>分析记录4.1!#REF!</f>
        <v>#REF!</v>
      </c>
      <c r="G35" s="16" t="e">
        <f>分析记录4.1!#REF!</f>
        <v>#REF!</v>
      </c>
      <c r="H35" s="16">
        <v>0</v>
      </c>
      <c r="I35" s="16" t="e">
        <f>分析记录4.1!#REF!</f>
        <v>#REF!</v>
      </c>
      <c r="J35" s="16" t="e">
        <f>分析记录4.1!#REF!</f>
        <v>#REF!</v>
      </c>
      <c r="K35" s="16">
        <v>0</v>
      </c>
      <c r="L35" s="16">
        <v>0</v>
      </c>
      <c r="M35" s="16" t="e">
        <f>分析记录4.1!#REF!</f>
        <v>#REF!</v>
      </c>
      <c r="N35" s="16" t="e">
        <f>分析记录4.1!#REF!</f>
        <v>#REF!</v>
      </c>
      <c r="O35" s="16">
        <v>0</v>
      </c>
      <c r="P35" s="16" t="e">
        <f>分析记录4.1!#REF!</f>
        <v>#REF!</v>
      </c>
      <c r="Q35" s="16" t="e">
        <f>分析记录4.1!#REF!</f>
        <v>#REF!</v>
      </c>
      <c r="R35" s="16" t="e">
        <f>分析记录4.1!#REF!</f>
        <v>#REF!</v>
      </c>
      <c r="S35" s="16" t="e">
        <f>分析记录4.1!#REF!</f>
        <v>#REF!</v>
      </c>
      <c r="T35" s="16" t="e">
        <f>分析记录4.1!#REF!</f>
        <v>#REF!</v>
      </c>
      <c r="U35" s="16" t="e">
        <f>分析记录4.1!#REF!</f>
        <v>#REF!</v>
      </c>
      <c r="V35" s="16">
        <v>0</v>
      </c>
      <c r="W35" s="16" t="e">
        <f>分析记录4.1!#REF!</f>
        <v>#REF!</v>
      </c>
      <c r="X35" s="16" t="e">
        <f>分析记录4.1!#REF!</f>
        <v>#REF!</v>
      </c>
      <c r="Y35" s="16">
        <v>0</v>
      </c>
      <c r="Z35" s="16" t="e">
        <f>分析记录4.1!#REF!</f>
        <v>#REF!</v>
      </c>
      <c r="AA35" s="16" t="e">
        <f>分析记录4.1!#REF!</f>
        <v>#REF!</v>
      </c>
      <c r="AB35" s="16" t="e">
        <f>分析记录4.1!#REF!</f>
        <v>#REF!</v>
      </c>
      <c r="AC35" s="16">
        <v>0</v>
      </c>
      <c r="AD35" s="16" t="e">
        <f>分析记录4.1!#REF!</f>
        <v>#REF!</v>
      </c>
      <c r="AE35" s="16" t="e">
        <f>分析记录4.1!#REF!</f>
        <v>#REF!</v>
      </c>
      <c r="AF35" s="16">
        <v>0</v>
      </c>
      <c r="AG35" s="16" t="e">
        <f>分析记录4.1!#REF!</f>
        <v>#REF!</v>
      </c>
      <c r="AH35" s="16" t="e">
        <f>分析记录4.1!#REF!</f>
        <v>#REF!</v>
      </c>
    </row>
    <row r="36" spans="1:36">
      <c r="A36" s="4"/>
      <c r="B36" s="2"/>
      <c r="C36" s="27" t="e">
        <f t="shared" ref="C36:C43" si="2">SUM(D36:AH36)</f>
        <v>#REF!</v>
      </c>
      <c r="D36" s="16" t="e">
        <f>分析记录4.1!#REF!</f>
        <v>#REF!</v>
      </c>
      <c r="E36" s="16"/>
      <c r="F36" s="16"/>
      <c r="G36" s="16"/>
      <c r="H36" s="16">
        <v>0</v>
      </c>
      <c r="I36" s="16"/>
      <c r="J36" s="16"/>
      <c r="K36" s="16">
        <v>0</v>
      </c>
      <c r="L36" s="16">
        <v>0</v>
      </c>
      <c r="M36" s="16"/>
      <c r="N36" s="16"/>
      <c r="O36" s="16">
        <v>0</v>
      </c>
      <c r="P36" s="16"/>
      <c r="Q36" s="16"/>
      <c r="R36" s="16"/>
      <c r="S36" s="16"/>
      <c r="T36" s="12"/>
      <c r="U36" s="16"/>
      <c r="V36" s="16">
        <v>0</v>
      </c>
      <c r="W36" s="16"/>
      <c r="X36" s="16"/>
      <c r="Y36" s="16">
        <v>0</v>
      </c>
      <c r="Z36" s="12"/>
      <c r="AA36" s="16"/>
      <c r="AB36" s="16"/>
      <c r="AC36" s="16">
        <v>0</v>
      </c>
      <c r="AD36" s="39"/>
      <c r="AE36" s="16"/>
      <c r="AF36" s="16">
        <v>0</v>
      </c>
      <c r="AG36" s="16"/>
      <c r="AH36" s="16"/>
    </row>
    <row r="37" spans="1:36">
      <c r="A37" s="4"/>
      <c r="B37" s="28"/>
      <c r="C37" s="27" t="e">
        <f t="shared" si="2"/>
        <v>#REF!</v>
      </c>
      <c r="D37" s="16" t="e">
        <f>分析记录4.1!#REF!</f>
        <v>#REF!</v>
      </c>
      <c r="E37" s="16"/>
      <c r="F37" s="16"/>
      <c r="G37" s="16"/>
      <c r="H37" s="16">
        <v>0</v>
      </c>
      <c r="I37" s="16"/>
      <c r="J37" s="16"/>
      <c r="K37" s="16">
        <v>0</v>
      </c>
      <c r="L37" s="16">
        <v>0</v>
      </c>
      <c r="M37" s="16"/>
      <c r="N37" s="16"/>
      <c r="O37" s="16">
        <v>0</v>
      </c>
      <c r="P37" s="16"/>
      <c r="Q37" s="16"/>
      <c r="R37" s="16"/>
      <c r="S37" s="16"/>
      <c r="T37" s="12"/>
      <c r="U37" s="16"/>
      <c r="V37" s="16">
        <v>0</v>
      </c>
      <c r="W37" s="16"/>
      <c r="X37" s="16"/>
      <c r="Y37" s="16">
        <v>0</v>
      </c>
      <c r="Z37" s="12"/>
      <c r="AA37" s="16"/>
      <c r="AB37" s="16"/>
      <c r="AC37" s="16">
        <v>0</v>
      </c>
      <c r="AD37" s="39"/>
      <c r="AE37" s="16"/>
      <c r="AF37" s="16">
        <v>0</v>
      </c>
      <c r="AG37" s="16"/>
      <c r="AH37" s="16"/>
      <c r="AJ37" s="43"/>
    </row>
    <row r="38" spans="1:36">
      <c r="A38" s="4"/>
      <c r="B38" s="2"/>
      <c r="C38" s="27" t="e">
        <f t="shared" si="2"/>
        <v>#REF!</v>
      </c>
      <c r="D38" s="16" t="e">
        <f>分析记录4.1!#REF!</f>
        <v>#REF!</v>
      </c>
      <c r="E38" s="16"/>
      <c r="F38" s="16"/>
      <c r="G38" s="16"/>
      <c r="H38" s="16">
        <v>0</v>
      </c>
      <c r="I38" s="16"/>
      <c r="J38" s="16"/>
      <c r="K38" s="16">
        <v>0</v>
      </c>
      <c r="L38" s="16">
        <v>0</v>
      </c>
      <c r="M38" s="16"/>
      <c r="N38" s="16"/>
      <c r="O38" s="16">
        <v>0</v>
      </c>
      <c r="P38" s="16"/>
      <c r="Q38" s="16"/>
      <c r="R38" s="16"/>
      <c r="S38" s="16"/>
      <c r="T38" s="12"/>
      <c r="U38" s="16"/>
      <c r="V38" s="16">
        <v>0</v>
      </c>
      <c r="W38" s="16"/>
      <c r="X38" s="16"/>
      <c r="Y38" s="16">
        <v>0</v>
      </c>
      <c r="Z38" s="12"/>
      <c r="AA38" s="16"/>
      <c r="AB38" s="16"/>
      <c r="AC38" s="16">
        <v>0</v>
      </c>
      <c r="AD38" s="39"/>
      <c r="AE38" s="16"/>
      <c r="AF38" s="16">
        <v>0</v>
      </c>
      <c r="AG38" s="16"/>
      <c r="AH38" s="16"/>
      <c r="AJ38" s="43"/>
    </row>
    <row r="39" spans="1:36">
      <c r="A39" s="4"/>
      <c r="B39" s="2"/>
      <c r="C39" s="27" t="e">
        <f t="shared" si="2"/>
        <v>#REF!</v>
      </c>
      <c r="D39" s="16" t="e">
        <f>分析记录4.1!#REF!</f>
        <v>#REF!</v>
      </c>
      <c r="E39" s="16"/>
      <c r="F39" s="16"/>
      <c r="G39" s="16"/>
      <c r="H39" s="16">
        <v>0</v>
      </c>
      <c r="I39" s="16"/>
      <c r="J39" s="16"/>
      <c r="K39" s="16">
        <v>0</v>
      </c>
      <c r="L39" s="16">
        <v>0</v>
      </c>
      <c r="M39" s="16"/>
      <c r="N39" s="16"/>
      <c r="O39" s="16">
        <v>0</v>
      </c>
      <c r="P39" s="16"/>
      <c r="Q39" s="16"/>
      <c r="R39" s="16"/>
      <c r="S39" s="16"/>
      <c r="T39" s="12"/>
      <c r="U39" s="16"/>
      <c r="V39" s="16">
        <v>0</v>
      </c>
      <c r="W39" s="16"/>
      <c r="X39" s="16"/>
      <c r="Y39" s="16">
        <v>0</v>
      </c>
      <c r="Z39" s="12"/>
      <c r="AA39" s="16"/>
      <c r="AB39" s="16"/>
      <c r="AC39" s="16">
        <v>0</v>
      </c>
      <c r="AD39" s="39"/>
      <c r="AE39" s="16"/>
      <c r="AF39" s="16">
        <v>0</v>
      </c>
      <c r="AG39" s="16"/>
      <c r="AH39" s="16"/>
      <c r="AJ39" s="43"/>
    </row>
    <row r="40" spans="1:36" ht="14.25" customHeight="1">
      <c r="A40" s="4"/>
      <c r="B40" s="2"/>
      <c r="C40" s="27" t="e">
        <f t="shared" si="2"/>
        <v>#REF!</v>
      </c>
      <c r="D40" s="16" t="e">
        <f>分析记录4.1!#REF!</f>
        <v>#REF!</v>
      </c>
      <c r="E40" s="16"/>
      <c r="F40" s="16"/>
      <c r="G40" s="16"/>
      <c r="H40" s="16">
        <v>0</v>
      </c>
      <c r="I40" s="16"/>
      <c r="J40" s="16"/>
      <c r="K40" s="16">
        <v>0</v>
      </c>
      <c r="L40" s="16">
        <v>0</v>
      </c>
      <c r="M40" s="16"/>
      <c r="N40" s="16"/>
      <c r="O40" s="16">
        <v>0</v>
      </c>
      <c r="P40" s="16"/>
      <c r="Q40" s="16"/>
      <c r="R40" s="16"/>
      <c r="S40" s="16"/>
      <c r="T40" s="12"/>
      <c r="U40" s="16"/>
      <c r="V40" s="16">
        <v>0</v>
      </c>
      <c r="W40" s="16"/>
      <c r="X40" s="16"/>
      <c r="Y40" s="16">
        <v>0</v>
      </c>
      <c r="Z40" s="12"/>
      <c r="AA40" s="16"/>
      <c r="AB40" s="16"/>
      <c r="AC40" s="16">
        <v>0</v>
      </c>
      <c r="AD40" s="39"/>
      <c r="AE40" s="16"/>
      <c r="AF40" s="16">
        <v>0</v>
      </c>
      <c r="AG40" s="16"/>
      <c r="AH40" s="16"/>
      <c r="AJ40" s="43"/>
    </row>
    <row r="41" spans="1:36" ht="14.25" customHeight="1">
      <c r="A41" s="4"/>
      <c r="B41" s="2"/>
      <c r="C41" s="27" t="e">
        <f t="shared" si="2"/>
        <v>#REF!</v>
      </c>
      <c r="D41" s="16" t="e">
        <f>分析记录4.1!#REF!</f>
        <v>#REF!</v>
      </c>
      <c r="E41" s="16"/>
      <c r="F41" s="16"/>
      <c r="G41" s="16"/>
      <c r="H41" s="16">
        <v>0</v>
      </c>
      <c r="I41" s="16"/>
      <c r="J41" s="16"/>
      <c r="K41" s="16">
        <v>0</v>
      </c>
      <c r="L41" s="16">
        <v>0</v>
      </c>
      <c r="M41" s="16"/>
      <c r="N41" s="16"/>
      <c r="O41" s="16">
        <v>0</v>
      </c>
      <c r="P41" s="16"/>
      <c r="Q41" s="16"/>
      <c r="R41" s="16"/>
      <c r="S41" s="16"/>
      <c r="T41" s="12"/>
      <c r="U41" s="16"/>
      <c r="V41" s="16">
        <v>0</v>
      </c>
      <c r="W41" s="16"/>
      <c r="X41" s="16"/>
      <c r="Y41" s="16">
        <v>0</v>
      </c>
      <c r="Z41" s="12"/>
      <c r="AA41" s="16"/>
      <c r="AB41" s="16"/>
      <c r="AC41" s="16">
        <v>0</v>
      </c>
      <c r="AD41" s="39"/>
      <c r="AE41" s="16"/>
      <c r="AF41" s="16">
        <v>0</v>
      </c>
      <c r="AG41" s="16"/>
      <c r="AH41" s="16"/>
      <c r="AJ41" s="43"/>
    </row>
    <row r="42" spans="1:36" ht="14.25" customHeight="1">
      <c r="A42" s="4"/>
      <c r="B42" s="28"/>
      <c r="C42" s="27" t="e">
        <f t="shared" si="2"/>
        <v>#REF!</v>
      </c>
      <c r="D42" s="16" t="e">
        <f>分析记录4.1!#REF!</f>
        <v>#REF!</v>
      </c>
      <c r="E42" s="16"/>
      <c r="F42" s="16"/>
      <c r="G42" s="16"/>
      <c r="H42" s="16">
        <v>0</v>
      </c>
      <c r="I42" s="16"/>
      <c r="J42" s="16"/>
      <c r="K42" s="16">
        <v>0</v>
      </c>
      <c r="L42" s="16">
        <v>0</v>
      </c>
      <c r="M42" s="16"/>
      <c r="N42" s="16"/>
      <c r="O42" s="16">
        <v>0</v>
      </c>
      <c r="P42" s="16"/>
      <c r="Q42" s="16"/>
      <c r="R42" s="16"/>
      <c r="S42" s="16"/>
      <c r="T42" s="12"/>
      <c r="U42" s="16"/>
      <c r="V42" s="16">
        <v>0</v>
      </c>
      <c r="W42" s="16"/>
      <c r="X42" s="16"/>
      <c r="Y42" s="16">
        <v>0</v>
      </c>
      <c r="Z42" s="12"/>
      <c r="AA42" s="16"/>
      <c r="AB42" s="16"/>
      <c r="AC42" s="16">
        <v>0</v>
      </c>
      <c r="AD42" s="39"/>
      <c r="AE42" s="16"/>
      <c r="AF42" s="16">
        <v>0</v>
      </c>
      <c r="AG42" s="16"/>
      <c r="AH42" s="16"/>
    </row>
    <row r="43" spans="1:36">
      <c r="A43" s="4"/>
      <c r="B43" s="28"/>
      <c r="C43" s="27" t="e">
        <f t="shared" si="2"/>
        <v>#REF!</v>
      </c>
      <c r="D43" s="16" t="e">
        <f>分析记录4.1!#REF!</f>
        <v>#REF!</v>
      </c>
      <c r="E43" s="16"/>
      <c r="F43" s="16"/>
      <c r="G43" s="16"/>
      <c r="H43" s="16">
        <v>0</v>
      </c>
      <c r="I43" s="16"/>
      <c r="J43" s="16"/>
      <c r="K43" s="16">
        <v>0</v>
      </c>
      <c r="L43" s="16">
        <v>0</v>
      </c>
      <c r="M43" s="16"/>
      <c r="N43" s="16"/>
      <c r="O43" s="16">
        <v>0</v>
      </c>
      <c r="P43" s="16"/>
      <c r="Q43" s="16"/>
      <c r="R43" s="16"/>
      <c r="S43" s="16"/>
      <c r="T43" s="12"/>
      <c r="U43" s="16"/>
      <c r="V43" s="16">
        <v>0</v>
      </c>
      <c r="W43" s="16"/>
      <c r="X43" s="16"/>
      <c r="Y43" s="16">
        <v>0</v>
      </c>
      <c r="Z43" s="12"/>
      <c r="AA43" s="16"/>
      <c r="AB43" s="16"/>
      <c r="AC43" s="16">
        <v>0</v>
      </c>
      <c r="AD43" s="39"/>
      <c r="AE43" s="16"/>
      <c r="AF43" s="16">
        <v>0</v>
      </c>
      <c r="AG43" s="16"/>
      <c r="AH43" s="16"/>
    </row>
    <row r="44" spans="1:36">
      <c r="A44" s="24"/>
      <c r="B44" s="10" t="s">
        <v>4</v>
      </c>
      <c r="C44" s="29" t="e">
        <f>SUM(C35:C43)</f>
        <v>#REF!</v>
      </c>
      <c r="D44" s="24" t="e">
        <f>SUM(D35:D43)</f>
        <v>#REF!</v>
      </c>
      <c r="E44" s="24" t="e">
        <f t="shared" ref="E44:AH44" si="3">SUM(E35:E43)</f>
        <v>#REF!</v>
      </c>
      <c r="F44" s="24" t="e">
        <f t="shared" si="3"/>
        <v>#REF!</v>
      </c>
      <c r="G44" s="24" t="e">
        <f t="shared" si="3"/>
        <v>#REF!</v>
      </c>
      <c r="H44" s="24">
        <f t="shared" si="3"/>
        <v>0</v>
      </c>
      <c r="I44" s="24" t="e">
        <f t="shared" si="3"/>
        <v>#REF!</v>
      </c>
      <c r="J44" s="24" t="e">
        <f t="shared" si="3"/>
        <v>#REF!</v>
      </c>
      <c r="K44" s="24">
        <f t="shared" si="3"/>
        <v>0</v>
      </c>
      <c r="L44" s="24">
        <f t="shared" si="3"/>
        <v>0</v>
      </c>
      <c r="M44" s="24" t="e">
        <f t="shared" si="3"/>
        <v>#REF!</v>
      </c>
      <c r="N44" s="24" t="e">
        <f t="shared" si="3"/>
        <v>#REF!</v>
      </c>
      <c r="O44" s="36">
        <f t="shared" si="3"/>
        <v>0</v>
      </c>
      <c r="P44" s="24" t="e">
        <f t="shared" si="3"/>
        <v>#REF!</v>
      </c>
      <c r="Q44" s="24" t="e">
        <f t="shared" si="3"/>
        <v>#REF!</v>
      </c>
      <c r="R44" s="24" t="e">
        <f t="shared" si="3"/>
        <v>#REF!</v>
      </c>
      <c r="S44" s="24" t="e">
        <f t="shared" si="3"/>
        <v>#REF!</v>
      </c>
      <c r="T44" s="24" t="e">
        <f t="shared" si="3"/>
        <v>#REF!</v>
      </c>
      <c r="U44" s="24" t="e">
        <f t="shared" si="3"/>
        <v>#REF!</v>
      </c>
      <c r="V44" s="24">
        <f t="shared" si="3"/>
        <v>0</v>
      </c>
      <c r="W44" s="24" t="e">
        <f t="shared" si="3"/>
        <v>#REF!</v>
      </c>
      <c r="X44" s="24" t="e">
        <f t="shared" si="3"/>
        <v>#REF!</v>
      </c>
      <c r="Y44" s="24">
        <f t="shared" si="3"/>
        <v>0</v>
      </c>
      <c r="Z44" s="24" t="e">
        <f t="shared" si="3"/>
        <v>#REF!</v>
      </c>
      <c r="AA44" s="24" t="e">
        <f t="shared" si="3"/>
        <v>#REF!</v>
      </c>
      <c r="AB44" s="24" t="e">
        <f t="shared" si="3"/>
        <v>#REF!</v>
      </c>
      <c r="AC44" s="24">
        <f t="shared" si="3"/>
        <v>0</v>
      </c>
      <c r="AD44" s="24" t="e">
        <f t="shared" si="3"/>
        <v>#REF!</v>
      </c>
      <c r="AE44" s="24" t="e">
        <f t="shared" si="3"/>
        <v>#REF!</v>
      </c>
      <c r="AF44" s="24">
        <f t="shared" si="3"/>
        <v>0</v>
      </c>
      <c r="AG44" s="24" t="e">
        <f t="shared" si="3"/>
        <v>#REF!</v>
      </c>
      <c r="AH44" s="24" t="e">
        <f t="shared" si="3"/>
        <v>#REF!</v>
      </c>
    </row>
    <row r="45" spans="1:36">
      <c r="A45" s="30"/>
      <c r="B45" s="31" t="s">
        <v>5</v>
      </c>
      <c r="C45" s="32">
        <v>0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6">
      <c r="B46" s="5"/>
      <c r="C46" s="5"/>
    </row>
    <row r="47" spans="1:36">
      <c r="B47" s="5"/>
      <c r="C47" s="5"/>
    </row>
    <row r="48" spans="1:36">
      <c r="B48" s="5"/>
      <c r="C48" s="5"/>
    </row>
    <row r="49" spans="2:3">
      <c r="B49" s="5"/>
      <c r="C49" s="5"/>
    </row>
    <row r="50" spans="2:3">
      <c r="B50" s="5"/>
      <c r="C50" s="5"/>
    </row>
    <row r="51" spans="2:3">
      <c r="B51" s="5"/>
      <c r="C51" s="5"/>
    </row>
  </sheetData>
  <mergeCells count="1">
    <mergeCell ref="A28:A29"/>
  </mergeCells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9" workbookViewId="0">
      <selection activeCell="C35" sqref="C35"/>
    </sheetView>
  </sheetViews>
  <sheetFormatPr defaultColWidth="13.375" defaultRowHeight="18.75"/>
  <cols>
    <col min="1" max="2" width="7.375" style="44" customWidth="1"/>
    <col min="3" max="3" width="15.875" style="44" customWidth="1"/>
    <col min="4" max="4" width="12.75" style="50" customWidth="1"/>
    <col min="5" max="5" width="8.5" style="52" customWidth="1"/>
    <col min="6" max="6" width="12.5" style="52" customWidth="1"/>
    <col min="7" max="7" width="12.25" style="44" customWidth="1"/>
    <col min="8" max="8" width="11.625" style="44" customWidth="1"/>
    <col min="9" max="16384" width="13.375" style="44"/>
  </cols>
  <sheetData>
    <row r="1" spans="1:8" ht="18" customHeight="1">
      <c r="A1" s="71" t="s">
        <v>78</v>
      </c>
      <c r="B1" s="71"/>
      <c r="C1" s="71"/>
      <c r="D1" s="71"/>
      <c r="E1" s="71"/>
      <c r="F1" s="71"/>
      <c r="G1" s="71"/>
      <c r="H1" s="71"/>
    </row>
    <row r="2" spans="1:8" ht="30.75" customHeight="1">
      <c r="A2" s="72"/>
      <c r="B2" s="72"/>
      <c r="C2" s="72"/>
      <c r="D2" s="72"/>
      <c r="E2" s="72"/>
      <c r="F2" s="72"/>
      <c r="G2" s="72"/>
      <c r="H2" s="72"/>
    </row>
    <row r="3" spans="1:8" ht="30.75" customHeight="1">
      <c r="A3" s="65"/>
      <c r="B3" s="65"/>
      <c r="C3" s="65"/>
      <c r="D3" s="73" t="s">
        <v>44</v>
      </c>
      <c r="E3" s="73"/>
      <c r="F3" s="73" t="s">
        <v>45</v>
      </c>
      <c r="G3" s="73"/>
      <c r="H3" s="65"/>
    </row>
    <row r="4" spans="1:8" s="46" customFormat="1" ht="29.25" customHeight="1">
      <c r="A4" s="66"/>
      <c r="B4" s="66" t="s">
        <v>12</v>
      </c>
      <c r="C4" s="45" t="s">
        <v>1</v>
      </c>
      <c r="D4" s="53" t="s">
        <v>31</v>
      </c>
      <c r="E4" s="53" t="s">
        <v>32</v>
      </c>
      <c r="F4" s="53" t="s">
        <v>31</v>
      </c>
      <c r="G4" s="53" t="s">
        <v>32</v>
      </c>
      <c r="H4" s="45" t="s">
        <v>14</v>
      </c>
    </row>
    <row r="5" spans="1:8" ht="21" customHeight="1">
      <c r="A5" s="77" t="s">
        <v>13</v>
      </c>
      <c r="B5" s="74" t="s">
        <v>46</v>
      </c>
      <c r="C5" s="47" t="s">
        <v>15</v>
      </c>
      <c r="D5" s="48"/>
      <c r="E5" s="48"/>
      <c r="F5" s="48"/>
      <c r="G5" s="48"/>
      <c r="H5" s="48"/>
    </row>
    <row r="6" spans="1:8" ht="21" customHeight="1">
      <c r="A6" s="78"/>
      <c r="B6" s="75"/>
      <c r="C6" s="47" t="s">
        <v>16</v>
      </c>
      <c r="D6" s="48"/>
      <c r="E6" s="48"/>
      <c r="F6" s="48"/>
      <c r="G6" s="48"/>
      <c r="H6" s="48"/>
    </row>
    <row r="7" spans="1:8" ht="21" customHeight="1">
      <c r="A7" s="78"/>
      <c r="B7" s="76"/>
      <c r="C7" s="47" t="s">
        <v>17</v>
      </c>
      <c r="D7" s="48"/>
      <c r="E7" s="48"/>
      <c r="F7" s="48"/>
      <c r="G7" s="48"/>
      <c r="H7" s="48"/>
    </row>
    <row r="8" spans="1:8" ht="21" customHeight="1">
      <c r="A8" s="78"/>
      <c r="B8" s="83" t="s">
        <v>18</v>
      </c>
      <c r="C8" s="47" t="s">
        <v>19</v>
      </c>
      <c r="D8" s="48"/>
      <c r="E8" s="48"/>
      <c r="F8" s="48"/>
      <c r="G8" s="48"/>
      <c r="H8" s="48"/>
    </row>
    <row r="9" spans="1:8" ht="21" customHeight="1">
      <c r="A9" s="78"/>
      <c r="B9" s="83"/>
      <c r="C9" s="47" t="s">
        <v>20</v>
      </c>
      <c r="D9" s="48"/>
      <c r="E9" s="48"/>
      <c r="F9" s="48"/>
      <c r="G9" s="48"/>
      <c r="H9" s="48"/>
    </row>
    <row r="10" spans="1:8" ht="21" customHeight="1">
      <c r="A10" s="78"/>
      <c r="B10" s="83"/>
      <c r="C10" s="47" t="s">
        <v>21</v>
      </c>
      <c r="D10" s="48"/>
      <c r="E10" s="48"/>
      <c r="F10" s="48"/>
      <c r="G10" s="48"/>
      <c r="H10" s="48"/>
    </row>
    <row r="11" spans="1:8" ht="21" customHeight="1">
      <c r="A11" s="78"/>
      <c r="B11" s="83"/>
      <c r="C11" s="47" t="s">
        <v>22</v>
      </c>
      <c r="D11" s="48"/>
      <c r="E11" s="48"/>
      <c r="F11" s="48"/>
      <c r="G11" s="48"/>
      <c r="H11" s="48"/>
    </row>
    <row r="12" spans="1:8" ht="21" customHeight="1">
      <c r="A12" s="78"/>
      <c r="B12" s="83" t="s">
        <v>23</v>
      </c>
      <c r="C12" s="47" t="s">
        <v>24</v>
      </c>
      <c r="D12" s="48"/>
      <c r="E12" s="48"/>
      <c r="F12" s="48"/>
      <c r="G12" s="48"/>
      <c r="H12" s="48"/>
    </row>
    <row r="13" spans="1:8" ht="21" customHeight="1">
      <c r="A13" s="78"/>
      <c r="B13" s="83"/>
      <c r="C13" s="49" t="s">
        <v>25</v>
      </c>
      <c r="D13" s="48"/>
      <c r="E13" s="48"/>
      <c r="F13" s="48"/>
      <c r="G13" s="48"/>
      <c r="H13" s="48"/>
    </row>
    <row r="14" spans="1:8" ht="21" customHeight="1">
      <c r="A14" s="78"/>
      <c r="B14" s="83"/>
      <c r="C14" s="49" t="s">
        <v>10</v>
      </c>
      <c r="D14" s="48"/>
      <c r="E14" s="48"/>
      <c r="F14" s="48"/>
      <c r="G14" s="48"/>
      <c r="H14" s="48"/>
    </row>
    <row r="15" spans="1:8" ht="21" customHeight="1">
      <c r="A15" s="78"/>
      <c r="B15" s="83"/>
      <c r="C15" s="49" t="s">
        <v>11</v>
      </c>
      <c r="D15" s="48"/>
      <c r="E15" s="48"/>
      <c r="F15" s="48"/>
      <c r="G15" s="48"/>
      <c r="H15" s="48"/>
    </row>
    <row r="16" spans="1:8" ht="21" customHeight="1">
      <c r="A16" s="78"/>
      <c r="B16" s="74" t="s">
        <v>85</v>
      </c>
      <c r="C16" s="47" t="s">
        <v>80</v>
      </c>
      <c r="D16" s="48"/>
      <c r="E16" s="48"/>
      <c r="F16" s="48"/>
      <c r="G16" s="48"/>
      <c r="H16" s="48"/>
    </row>
    <row r="17" spans="1:8" ht="21" customHeight="1">
      <c r="A17" s="78"/>
      <c r="B17" s="75"/>
      <c r="C17" s="47" t="s">
        <v>81</v>
      </c>
      <c r="D17" s="48"/>
      <c r="E17" s="48"/>
      <c r="F17" s="48"/>
      <c r="G17" s="48"/>
      <c r="H17" s="48"/>
    </row>
    <row r="18" spans="1:8" ht="21" customHeight="1">
      <c r="A18" s="78"/>
      <c r="B18" s="75"/>
      <c r="C18" s="47" t="s">
        <v>82</v>
      </c>
      <c r="D18" s="48"/>
      <c r="E18" s="48"/>
      <c r="F18" s="48"/>
      <c r="G18" s="48"/>
      <c r="H18" s="48"/>
    </row>
    <row r="19" spans="1:8" ht="21" customHeight="1">
      <c r="A19" s="78"/>
      <c r="B19" s="76"/>
      <c r="C19" s="47" t="s">
        <v>83</v>
      </c>
      <c r="D19" s="48"/>
      <c r="E19" s="48"/>
      <c r="F19" s="48"/>
      <c r="G19" s="48"/>
      <c r="H19" s="48"/>
    </row>
    <row r="20" spans="1:8" ht="21" customHeight="1">
      <c r="A20" s="78"/>
      <c r="B20" s="74" t="s">
        <v>86</v>
      </c>
      <c r="C20" s="47" t="s">
        <v>80</v>
      </c>
      <c r="D20" s="48"/>
      <c r="E20" s="48"/>
      <c r="F20" s="48"/>
      <c r="G20" s="48"/>
      <c r="H20" s="48"/>
    </row>
    <row r="21" spans="1:8" ht="21" customHeight="1">
      <c r="A21" s="78"/>
      <c r="B21" s="75"/>
      <c r="C21" s="47" t="s">
        <v>81</v>
      </c>
      <c r="D21" s="48"/>
      <c r="E21" s="48"/>
      <c r="F21" s="48"/>
      <c r="G21" s="48"/>
      <c r="H21" s="48"/>
    </row>
    <row r="22" spans="1:8" ht="21" customHeight="1">
      <c r="A22" s="78"/>
      <c r="B22" s="75"/>
      <c r="C22" s="47" t="s">
        <v>82</v>
      </c>
      <c r="D22" s="48"/>
      <c r="E22" s="48"/>
      <c r="F22" s="48"/>
      <c r="G22" s="48"/>
      <c r="H22" s="48"/>
    </row>
    <row r="23" spans="1:8" ht="21" customHeight="1">
      <c r="A23" s="78"/>
      <c r="B23" s="76"/>
      <c r="C23" s="47" t="s">
        <v>83</v>
      </c>
      <c r="D23" s="48"/>
      <c r="E23" s="48"/>
      <c r="F23" s="48"/>
      <c r="G23" s="48"/>
      <c r="H23" s="48"/>
    </row>
    <row r="24" spans="1:8" ht="21" customHeight="1">
      <c r="A24" s="77" t="s">
        <v>26</v>
      </c>
      <c r="B24" s="68" t="s">
        <v>47</v>
      </c>
      <c r="C24" s="47" t="s">
        <v>28</v>
      </c>
      <c r="D24" s="48"/>
      <c r="E24" s="48"/>
      <c r="F24" s="48"/>
      <c r="G24" s="48"/>
      <c r="H24" s="48"/>
    </row>
    <row r="25" spans="1:8" ht="21" customHeight="1">
      <c r="A25" s="78"/>
      <c r="B25" s="67" t="s">
        <v>87</v>
      </c>
      <c r="C25" s="49" t="s">
        <v>40</v>
      </c>
      <c r="D25" s="48"/>
      <c r="E25" s="48"/>
      <c r="F25" s="48"/>
      <c r="G25" s="48"/>
      <c r="H25" s="48"/>
    </row>
    <row r="26" spans="1:8" ht="21" customHeight="1">
      <c r="A26" s="78"/>
      <c r="B26" s="67" t="s">
        <v>88</v>
      </c>
      <c r="C26" s="49" t="s">
        <v>40</v>
      </c>
      <c r="D26" s="48"/>
      <c r="E26" s="48"/>
      <c r="F26" s="48"/>
      <c r="G26" s="48"/>
      <c r="H26" s="48"/>
    </row>
    <row r="27" spans="1:8" ht="21" customHeight="1">
      <c r="A27" s="78"/>
      <c r="B27" s="66" t="s">
        <v>85</v>
      </c>
      <c r="C27" s="49" t="s">
        <v>40</v>
      </c>
      <c r="D27" s="48"/>
      <c r="E27" s="48"/>
      <c r="F27" s="48"/>
      <c r="G27" s="48"/>
      <c r="H27" s="48"/>
    </row>
    <row r="28" spans="1:8" ht="21" customHeight="1">
      <c r="A28" s="78"/>
      <c r="B28" s="66" t="s">
        <v>86</v>
      </c>
      <c r="C28" s="49" t="s">
        <v>40</v>
      </c>
      <c r="D28" s="48"/>
      <c r="E28" s="48"/>
      <c r="F28" s="48"/>
      <c r="G28" s="48"/>
      <c r="H28" s="48"/>
    </row>
    <row r="29" spans="1:8" ht="21" customHeight="1">
      <c r="A29" s="77" t="s">
        <v>29</v>
      </c>
      <c r="B29" s="66" t="s">
        <v>27</v>
      </c>
      <c r="C29" s="49" t="s">
        <v>29</v>
      </c>
      <c r="D29" s="48"/>
      <c r="E29" s="48"/>
      <c r="F29" s="48"/>
      <c r="G29" s="48"/>
      <c r="H29" s="48"/>
    </row>
    <row r="30" spans="1:8" ht="21" customHeight="1">
      <c r="A30" s="78"/>
      <c r="B30" s="66" t="s">
        <v>18</v>
      </c>
      <c r="C30" s="49" t="s">
        <v>29</v>
      </c>
      <c r="D30" s="48"/>
      <c r="E30" s="48"/>
      <c r="F30" s="48"/>
      <c r="G30" s="48"/>
      <c r="H30" s="48"/>
    </row>
    <row r="31" spans="1:8" ht="21" customHeight="1">
      <c r="A31" s="78"/>
      <c r="B31" s="66" t="s">
        <v>23</v>
      </c>
      <c r="C31" s="49" t="s">
        <v>29</v>
      </c>
      <c r="D31" s="48"/>
      <c r="E31" s="48"/>
      <c r="F31" s="48"/>
      <c r="G31" s="48"/>
      <c r="H31" s="48"/>
    </row>
    <row r="32" spans="1:8" ht="21" customHeight="1">
      <c r="A32" s="78"/>
      <c r="B32" s="66" t="s">
        <v>85</v>
      </c>
      <c r="C32" s="49" t="s">
        <v>29</v>
      </c>
      <c r="D32" s="48"/>
      <c r="E32" s="48"/>
      <c r="F32" s="48"/>
      <c r="G32" s="48"/>
      <c r="H32" s="48"/>
    </row>
    <row r="33" spans="1:8" ht="21" customHeight="1">
      <c r="A33" s="78"/>
      <c r="B33" s="66" t="s">
        <v>86</v>
      </c>
      <c r="C33" s="49" t="s">
        <v>29</v>
      </c>
      <c r="D33" s="48"/>
      <c r="E33" s="48"/>
      <c r="F33" s="48"/>
      <c r="G33" s="48"/>
      <c r="H33" s="48"/>
    </row>
    <row r="34" spans="1:8" ht="21" customHeight="1">
      <c r="A34" s="66" t="s">
        <v>39</v>
      </c>
      <c r="B34" s="66" t="s">
        <v>37</v>
      </c>
      <c r="C34" s="49" t="s">
        <v>38</v>
      </c>
      <c r="D34" s="48"/>
      <c r="E34" s="48"/>
      <c r="F34" s="48"/>
      <c r="G34" s="48"/>
      <c r="H34" s="48"/>
    </row>
    <row r="35" spans="1:8">
      <c r="A35" s="78" t="s">
        <v>89</v>
      </c>
      <c r="B35" s="66" t="s">
        <v>34</v>
      </c>
      <c r="C35" s="47" t="s">
        <v>36</v>
      </c>
      <c r="D35" s="48"/>
      <c r="E35" s="48"/>
      <c r="F35" s="48"/>
      <c r="G35" s="48"/>
      <c r="H35" s="48"/>
    </row>
    <row r="36" spans="1:8">
      <c r="A36" s="78"/>
      <c r="B36" s="66" t="s">
        <v>35</v>
      </c>
      <c r="C36" s="47" t="s">
        <v>36</v>
      </c>
      <c r="D36" s="48"/>
      <c r="E36" s="48"/>
      <c r="F36" s="48"/>
      <c r="G36" s="48"/>
      <c r="H36" s="48"/>
    </row>
    <row r="37" spans="1:8">
      <c r="A37" s="78"/>
      <c r="B37" s="67" t="s">
        <v>88</v>
      </c>
      <c r="C37" s="49" t="s">
        <v>42</v>
      </c>
      <c r="D37" s="48"/>
      <c r="E37" s="48"/>
      <c r="F37" s="48"/>
      <c r="G37" s="48"/>
      <c r="H37" s="48"/>
    </row>
    <row r="38" spans="1:8">
      <c r="A38" s="78"/>
      <c r="B38" s="67" t="s">
        <v>85</v>
      </c>
      <c r="C38" s="49" t="s">
        <v>43</v>
      </c>
      <c r="D38" s="48"/>
      <c r="E38" s="48"/>
      <c r="F38" s="48"/>
      <c r="G38" s="48"/>
      <c r="H38" s="48"/>
    </row>
    <row r="39" spans="1:8">
      <c r="A39" s="79"/>
      <c r="B39" s="66" t="s">
        <v>84</v>
      </c>
      <c r="C39" s="49" t="s">
        <v>42</v>
      </c>
      <c r="D39" s="48"/>
      <c r="E39" s="48"/>
      <c r="F39" s="48"/>
      <c r="G39" s="48"/>
      <c r="H39" s="48"/>
    </row>
    <row r="40" spans="1:8">
      <c r="A40" s="81" t="s">
        <v>7</v>
      </c>
      <c r="B40" s="81"/>
      <c r="C40" s="60"/>
      <c r="D40" s="81" t="s">
        <v>8</v>
      </c>
      <c r="E40" s="81"/>
      <c r="G40" s="81" t="s">
        <v>33</v>
      </c>
      <c r="H40" s="81"/>
    </row>
    <row r="41" spans="1:8">
      <c r="A41" s="82"/>
      <c r="B41" s="82"/>
      <c r="C41" s="61"/>
      <c r="D41" s="82"/>
      <c r="E41" s="82"/>
      <c r="F41" s="64"/>
      <c r="G41" s="82"/>
      <c r="H41" s="82"/>
    </row>
    <row r="42" spans="1:8">
      <c r="A42" s="84"/>
      <c r="B42" s="84"/>
      <c r="C42" s="84"/>
      <c r="D42" s="84"/>
      <c r="E42" s="84"/>
      <c r="F42" s="80" t="s">
        <v>30</v>
      </c>
      <c r="G42" s="80"/>
      <c r="H42" s="80"/>
    </row>
    <row r="43" spans="1:8">
      <c r="A43" s="54" t="s">
        <v>9</v>
      </c>
      <c r="B43" s="51"/>
      <c r="C43" s="51"/>
      <c r="D43" s="51"/>
      <c r="E43" s="51"/>
      <c r="F43" s="51"/>
      <c r="G43" s="51"/>
      <c r="H43" s="51"/>
    </row>
  </sheetData>
  <mergeCells count="17">
    <mergeCell ref="F42:H42"/>
    <mergeCell ref="G40:H41"/>
    <mergeCell ref="B8:B11"/>
    <mergeCell ref="B12:B15"/>
    <mergeCell ref="A42:E42"/>
    <mergeCell ref="A40:B41"/>
    <mergeCell ref="D40:E41"/>
    <mergeCell ref="B16:B19"/>
    <mergeCell ref="A1:H2"/>
    <mergeCell ref="D3:E3"/>
    <mergeCell ref="F3:G3"/>
    <mergeCell ref="B5:B7"/>
    <mergeCell ref="A35:A39"/>
    <mergeCell ref="A29:A33"/>
    <mergeCell ref="A24:A28"/>
    <mergeCell ref="A5:A23"/>
    <mergeCell ref="B20:B23"/>
  </mergeCells>
  <phoneticPr fontId="3" type="noConversion"/>
  <conditionalFormatting sqref="D5:D23">
    <cfRule type="cellIs" dxfId="7" priority="67" stopIfTrue="1" operator="greaterThan">
      <formula>120</formula>
    </cfRule>
    <cfRule type="cellIs" dxfId="6" priority="68" stopIfTrue="1" operator="lessThan">
      <formula>90</formula>
    </cfRule>
  </conditionalFormatting>
  <conditionalFormatting sqref="D5:D23">
    <cfRule type="cellIs" dxfId="5" priority="69" stopIfTrue="1" operator="lessThan">
      <formula>60</formula>
    </cfRule>
    <cfRule type="cellIs" dxfId="4" priority="70" stopIfTrue="1" operator="greaterThan">
      <formula>90</formula>
    </cfRule>
  </conditionalFormatting>
  <conditionalFormatting sqref="D5 D8:D39">
    <cfRule type="cellIs" dxfId="3" priority="61" stopIfTrue="1" operator="greaterThan">
      <formula>120</formula>
    </cfRule>
    <cfRule type="cellIs" dxfId="2" priority="62" stopIfTrue="1" operator="lessThan">
      <formula>90</formula>
    </cfRule>
    <cfRule type="cellIs" dxfId="1" priority="63" stopIfTrue="1" operator="lessThan">
      <formula>60</formula>
    </cfRule>
    <cfRule type="cellIs" dxfId="0" priority="64" stopIfTrue="1" operator="greaterThan">
      <formula>90</formula>
    </cfRule>
  </conditionalFormatting>
  <printOptions horizontalCentered="1" verticalCentered="1"/>
  <pageMargins left="0" right="0" top="0" bottom="0" header="0" footer="0"/>
  <pageSetup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topLeftCell="A10" workbookViewId="0">
      <selection activeCell="B17" sqref="B17"/>
    </sheetView>
  </sheetViews>
  <sheetFormatPr defaultColWidth="13.375" defaultRowHeight="18.75"/>
  <cols>
    <col min="1" max="1" width="7.375" style="44" customWidth="1"/>
    <col min="2" max="2" width="12.875" style="44" customWidth="1"/>
    <col min="3" max="4" width="10.625" style="44" customWidth="1"/>
    <col min="5" max="5" width="10.625" style="55" customWidth="1"/>
    <col min="6" max="8" width="10.625" style="52" customWidth="1"/>
    <col min="9" max="9" width="10.625" style="44" customWidth="1"/>
    <col min="10" max="10" width="11.625" style="44" customWidth="1"/>
    <col min="11" max="16384" width="13.375" style="44"/>
  </cols>
  <sheetData>
    <row r="1" spans="1:10" ht="18" customHeight="1">
      <c r="A1" s="71" t="s">
        <v>77</v>
      </c>
      <c r="B1" s="71"/>
      <c r="C1" s="71"/>
      <c r="D1" s="71"/>
      <c r="E1" s="71"/>
      <c r="F1" s="71"/>
      <c r="G1" s="71"/>
      <c r="H1" s="71"/>
      <c r="I1" s="71"/>
      <c r="J1" s="58"/>
    </row>
    <row r="2" spans="1:10" ht="30.75" customHeight="1">
      <c r="A2" s="72"/>
      <c r="B2" s="72"/>
      <c r="C2" s="72"/>
      <c r="D2" s="72"/>
      <c r="E2" s="72"/>
      <c r="F2" s="72"/>
      <c r="G2" s="72"/>
      <c r="H2" s="72"/>
      <c r="I2" s="72"/>
      <c r="J2" s="58"/>
    </row>
    <row r="3" spans="1:10" ht="30.75" customHeight="1">
      <c r="A3" s="57"/>
      <c r="B3" s="57"/>
      <c r="C3" s="73" t="s">
        <v>44</v>
      </c>
      <c r="D3" s="73"/>
      <c r="E3" s="73"/>
      <c r="F3" s="73" t="s">
        <v>45</v>
      </c>
      <c r="G3" s="73"/>
      <c r="H3" s="73"/>
      <c r="I3" s="57"/>
      <c r="J3" s="59"/>
    </row>
    <row r="4" spans="1:10" s="46" customFormat="1" ht="29.25" customHeight="1">
      <c r="A4" s="56" t="s">
        <v>12</v>
      </c>
      <c r="B4" s="45" t="s">
        <v>1</v>
      </c>
      <c r="C4" s="85" t="s">
        <v>76</v>
      </c>
      <c r="D4" s="86"/>
      <c r="E4" s="53" t="s">
        <v>32</v>
      </c>
      <c r="F4" s="85" t="s">
        <v>76</v>
      </c>
      <c r="G4" s="86"/>
      <c r="H4" s="53" t="s">
        <v>32</v>
      </c>
      <c r="I4" s="45" t="s">
        <v>14</v>
      </c>
    </row>
    <row r="5" spans="1:10" ht="21" customHeight="1">
      <c r="A5" s="74" t="s">
        <v>46</v>
      </c>
      <c r="B5" s="47" t="s">
        <v>48</v>
      </c>
      <c r="C5" s="48"/>
      <c r="D5" s="48"/>
      <c r="E5" s="48"/>
      <c r="F5" s="48"/>
      <c r="G5" s="48"/>
      <c r="H5" s="48"/>
      <c r="I5" s="48"/>
    </row>
    <row r="6" spans="1:10" ht="21" customHeight="1">
      <c r="A6" s="75"/>
      <c r="B6" s="47" t="s">
        <v>49</v>
      </c>
      <c r="C6" s="48"/>
      <c r="D6" s="48"/>
      <c r="E6" s="48"/>
      <c r="F6" s="48"/>
      <c r="G6" s="48"/>
      <c r="H6" s="48"/>
      <c r="I6" s="48"/>
    </row>
    <row r="7" spans="1:10" ht="21" customHeight="1">
      <c r="A7" s="75"/>
      <c r="B7" s="47" t="s">
        <v>50</v>
      </c>
      <c r="C7" s="48"/>
      <c r="D7" s="48"/>
      <c r="E7" s="48"/>
      <c r="F7" s="48"/>
      <c r="G7" s="48"/>
      <c r="H7" s="48"/>
      <c r="I7" s="48"/>
    </row>
    <row r="8" spans="1:10" ht="21" customHeight="1">
      <c r="A8" s="75"/>
      <c r="B8" s="47" t="s">
        <v>51</v>
      </c>
      <c r="C8" s="48"/>
      <c r="D8" s="48"/>
      <c r="E8" s="48"/>
      <c r="F8" s="48"/>
      <c r="G8" s="48"/>
      <c r="H8" s="48"/>
      <c r="I8" s="48"/>
    </row>
    <row r="9" spans="1:10" ht="21" customHeight="1">
      <c r="A9" s="75"/>
      <c r="B9" s="47" t="s">
        <v>52</v>
      </c>
      <c r="C9" s="48"/>
      <c r="D9" s="48"/>
      <c r="E9" s="48"/>
      <c r="F9" s="48"/>
      <c r="G9" s="48"/>
      <c r="H9" s="48"/>
      <c r="I9" s="48"/>
    </row>
    <row r="10" spans="1:10" ht="21" customHeight="1">
      <c r="A10" s="76"/>
      <c r="B10" s="47" t="s">
        <v>53</v>
      </c>
      <c r="C10" s="48"/>
      <c r="D10" s="48"/>
      <c r="E10" s="48"/>
      <c r="F10" s="48"/>
      <c r="G10" s="48"/>
      <c r="H10" s="48"/>
      <c r="I10" s="48"/>
    </row>
    <row r="11" spans="1:10" ht="21" customHeight="1">
      <c r="A11" s="75" t="s">
        <v>18</v>
      </c>
      <c r="B11" s="47" t="s">
        <v>54</v>
      </c>
      <c r="C11" s="48"/>
      <c r="D11" s="48"/>
      <c r="E11" s="48"/>
      <c r="F11" s="48"/>
      <c r="G11" s="48"/>
      <c r="H11" s="48"/>
      <c r="I11" s="48"/>
    </row>
    <row r="12" spans="1:10" ht="21" customHeight="1">
      <c r="A12" s="75"/>
      <c r="B12" s="47" t="s">
        <v>55</v>
      </c>
      <c r="C12" s="48"/>
      <c r="D12" s="48"/>
      <c r="E12" s="48"/>
      <c r="F12" s="48"/>
      <c r="G12" s="48"/>
      <c r="H12" s="48"/>
      <c r="I12" s="48"/>
    </row>
    <row r="13" spans="1:10" ht="21" customHeight="1">
      <c r="A13" s="75"/>
      <c r="B13" s="47" t="s">
        <v>79</v>
      </c>
      <c r="C13" s="48"/>
      <c r="D13" s="48"/>
      <c r="E13" s="48"/>
      <c r="F13" s="48"/>
      <c r="G13" s="48"/>
      <c r="H13" s="48"/>
      <c r="I13" s="48"/>
    </row>
    <row r="14" spans="1:10" ht="21" customHeight="1">
      <c r="A14" s="75"/>
      <c r="B14" s="47" t="s">
        <v>57</v>
      </c>
      <c r="C14" s="48"/>
      <c r="D14" s="48"/>
      <c r="E14" s="48"/>
      <c r="F14" s="48"/>
      <c r="G14" s="48"/>
      <c r="H14" s="48"/>
      <c r="I14" s="48"/>
    </row>
    <row r="15" spans="1:10" ht="21" customHeight="1">
      <c r="A15" s="75"/>
      <c r="B15" s="47" t="s">
        <v>58</v>
      </c>
      <c r="C15" s="48"/>
      <c r="D15" s="48"/>
      <c r="E15" s="48"/>
      <c r="F15" s="48"/>
      <c r="G15" s="48"/>
      <c r="H15" s="48"/>
      <c r="I15" s="48"/>
    </row>
    <row r="16" spans="1:10" ht="21" customHeight="1">
      <c r="A16" s="75"/>
      <c r="B16" s="47" t="s">
        <v>56</v>
      </c>
      <c r="C16" s="48"/>
      <c r="D16" s="48"/>
      <c r="E16" s="48"/>
      <c r="F16" s="48"/>
      <c r="G16" s="48"/>
      <c r="H16" s="48"/>
      <c r="I16" s="48"/>
    </row>
    <row r="17" spans="1:9" ht="21" customHeight="1">
      <c r="A17" s="74" t="s">
        <v>23</v>
      </c>
      <c r="B17" s="47" t="s">
        <v>59</v>
      </c>
      <c r="C17" s="48"/>
      <c r="D17" s="48"/>
      <c r="E17" s="48"/>
      <c r="F17" s="48"/>
      <c r="G17" s="48"/>
      <c r="H17" s="48"/>
      <c r="I17" s="48"/>
    </row>
    <row r="18" spans="1:9" ht="21" customHeight="1">
      <c r="A18" s="75"/>
      <c r="B18" s="47" t="s">
        <v>60</v>
      </c>
      <c r="C18" s="48"/>
      <c r="D18" s="48"/>
      <c r="E18" s="48"/>
      <c r="F18" s="48"/>
      <c r="G18" s="48"/>
      <c r="H18" s="48"/>
      <c r="I18" s="48"/>
    </row>
    <row r="19" spans="1:9" ht="21" customHeight="1">
      <c r="A19" s="75"/>
      <c r="B19" s="47" t="s">
        <v>61</v>
      </c>
      <c r="C19" s="48"/>
      <c r="D19" s="48"/>
      <c r="E19" s="48"/>
      <c r="F19" s="48"/>
      <c r="G19" s="48"/>
      <c r="H19" s="48"/>
      <c r="I19" s="48"/>
    </row>
    <row r="20" spans="1:9" ht="21" customHeight="1">
      <c r="A20" s="75"/>
      <c r="B20" s="47" t="s">
        <v>62</v>
      </c>
      <c r="C20" s="48"/>
      <c r="D20" s="48"/>
      <c r="E20" s="48"/>
      <c r="F20" s="48"/>
      <c r="G20" s="48"/>
      <c r="H20" s="48"/>
      <c r="I20" s="48"/>
    </row>
    <row r="21" spans="1:9" ht="21" customHeight="1">
      <c r="A21" s="75"/>
      <c r="B21" s="47" t="s">
        <v>63</v>
      </c>
      <c r="C21" s="48"/>
      <c r="D21" s="48"/>
      <c r="E21" s="48"/>
      <c r="F21" s="48"/>
      <c r="G21" s="48"/>
      <c r="H21" s="48"/>
      <c r="I21" s="48"/>
    </row>
    <row r="22" spans="1:9" ht="21" customHeight="1">
      <c r="A22" s="75"/>
      <c r="B22" s="47" t="s">
        <v>64</v>
      </c>
      <c r="C22" s="48"/>
      <c r="D22" s="48"/>
      <c r="E22" s="48"/>
      <c r="F22" s="48"/>
      <c r="G22" s="48"/>
      <c r="H22" s="48"/>
      <c r="I22" s="48"/>
    </row>
    <row r="23" spans="1:9" ht="21" customHeight="1">
      <c r="A23" s="76"/>
      <c r="B23" s="47" t="s">
        <v>65</v>
      </c>
      <c r="C23" s="48"/>
      <c r="D23" s="48"/>
      <c r="E23" s="48"/>
      <c r="F23" s="48"/>
      <c r="G23" s="48"/>
      <c r="H23" s="48"/>
      <c r="I23" s="48"/>
    </row>
    <row r="24" spans="1:9" ht="21" customHeight="1">
      <c r="A24" s="74" t="s">
        <v>41</v>
      </c>
      <c r="B24" s="47" t="s">
        <v>66</v>
      </c>
      <c r="C24" s="48"/>
      <c r="D24" s="48"/>
      <c r="E24" s="48"/>
      <c r="F24" s="48"/>
      <c r="G24" s="48"/>
      <c r="H24" s="48"/>
      <c r="I24" s="48"/>
    </row>
    <row r="25" spans="1:9" ht="21" customHeight="1">
      <c r="A25" s="75"/>
      <c r="B25" s="47" t="s">
        <v>67</v>
      </c>
      <c r="C25" s="48"/>
      <c r="D25" s="48"/>
      <c r="E25" s="48"/>
      <c r="F25" s="48"/>
      <c r="G25" s="48"/>
      <c r="H25" s="48"/>
      <c r="I25" s="48"/>
    </row>
    <row r="26" spans="1:9" ht="21" customHeight="1">
      <c r="A26" s="75"/>
      <c r="B26" s="47" t="s">
        <v>69</v>
      </c>
      <c r="C26" s="48"/>
      <c r="D26" s="48"/>
      <c r="E26" s="48"/>
      <c r="F26" s="48"/>
      <c r="G26" s="48"/>
      <c r="H26" s="48"/>
      <c r="I26" s="48"/>
    </row>
    <row r="27" spans="1:9" ht="21" customHeight="1">
      <c r="A27" s="75"/>
      <c r="B27" s="47" t="s">
        <v>68</v>
      </c>
      <c r="C27" s="48"/>
      <c r="D27" s="48"/>
      <c r="E27" s="48"/>
      <c r="F27" s="48"/>
      <c r="G27" s="48"/>
      <c r="H27" s="48"/>
      <c r="I27" s="48"/>
    </row>
    <row r="28" spans="1:9" ht="21" customHeight="1">
      <c r="A28" s="75"/>
      <c r="B28" s="47" t="s">
        <v>70</v>
      </c>
      <c r="C28" s="48"/>
      <c r="D28" s="48"/>
      <c r="E28" s="48"/>
      <c r="F28" s="48"/>
      <c r="G28" s="48"/>
      <c r="H28" s="48"/>
      <c r="I28" s="48"/>
    </row>
    <row r="29" spans="1:9" ht="21" customHeight="1">
      <c r="A29" s="75"/>
      <c r="B29" s="47" t="s">
        <v>71</v>
      </c>
      <c r="C29" s="48"/>
      <c r="D29" s="48"/>
      <c r="E29" s="48"/>
      <c r="F29" s="48"/>
      <c r="G29" s="48"/>
      <c r="H29" s="48"/>
      <c r="I29" s="48"/>
    </row>
    <row r="30" spans="1:9" ht="21" customHeight="1">
      <c r="A30" s="75"/>
      <c r="B30" s="47" t="s">
        <v>72</v>
      </c>
      <c r="C30" s="48"/>
      <c r="D30" s="48"/>
      <c r="E30" s="48"/>
      <c r="F30" s="48"/>
      <c r="G30" s="48"/>
      <c r="H30" s="48"/>
      <c r="I30" s="48"/>
    </row>
    <row r="31" spans="1:9" ht="21" customHeight="1">
      <c r="A31" s="75"/>
      <c r="B31" s="47" t="s">
        <v>73</v>
      </c>
      <c r="C31" s="48"/>
      <c r="D31" s="48"/>
      <c r="E31" s="48"/>
      <c r="F31" s="48"/>
      <c r="G31" s="48"/>
      <c r="H31" s="48"/>
      <c r="I31" s="48"/>
    </row>
    <row r="32" spans="1:9" ht="21" customHeight="1">
      <c r="A32" s="75"/>
      <c r="B32" s="47" t="s">
        <v>74</v>
      </c>
      <c r="C32" s="48"/>
      <c r="D32" s="48"/>
      <c r="E32" s="48"/>
      <c r="F32" s="48"/>
      <c r="G32" s="48"/>
      <c r="H32" s="48"/>
      <c r="I32" s="48"/>
    </row>
    <row r="33" spans="1:10" ht="21" customHeight="1">
      <c r="A33" s="76"/>
      <c r="B33" s="47" t="s">
        <v>75</v>
      </c>
      <c r="C33" s="48"/>
      <c r="D33" s="48"/>
      <c r="E33" s="48"/>
      <c r="F33" s="48"/>
      <c r="G33" s="48"/>
      <c r="H33" s="48"/>
      <c r="I33" s="48"/>
    </row>
    <row r="34" spans="1:10">
      <c r="A34" s="81" t="s">
        <v>7</v>
      </c>
      <c r="B34" s="81"/>
      <c r="C34" s="81" t="s">
        <v>8</v>
      </c>
      <c r="D34" s="81"/>
      <c r="E34" s="81"/>
      <c r="F34" s="81" t="s">
        <v>33</v>
      </c>
      <c r="G34" s="81"/>
      <c r="H34" s="81"/>
      <c r="I34" s="81"/>
      <c r="J34" s="62"/>
    </row>
    <row r="35" spans="1:10">
      <c r="A35" s="82"/>
      <c r="B35" s="82"/>
      <c r="C35" s="82"/>
      <c r="D35" s="82"/>
      <c r="E35" s="82"/>
      <c r="F35" s="82"/>
      <c r="G35" s="82"/>
      <c r="H35" s="82"/>
      <c r="I35" s="82"/>
      <c r="J35" s="62"/>
    </row>
    <row r="36" spans="1:10">
      <c r="A36" s="63"/>
      <c r="B36" s="63"/>
      <c r="C36" s="63"/>
      <c r="D36" s="63"/>
      <c r="E36" s="63"/>
      <c r="F36" s="80" t="s">
        <v>30</v>
      </c>
      <c r="G36" s="80"/>
      <c r="H36" s="80"/>
      <c r="I36" s="80"/>
      <c r="J36" s="63"/>
    </row>
    <row r="37" spans="1:10">
      <c r="A37" s="54" t="s">
        <v>9</v>
      </c>
      <c r="B37" s="51"/>
      <c r="C37" s="51"/>
      <c r="D37" s="51"/>
      <c r="E37" s="51"/>
      <c r="F37" s="51"/>
      <c r="G37" s="51"/>
      <c r="H37" s="51"/>
      <c r="I37" s="51"/>
      <c r="J37" s="51"/>
    </row>
  </sheetData>
  <mergeCells count="13">
    <mergeCell ref="F36:I36"/>
    <mergeCell ref="C3:E3"/>
    <mergeCell ref="F3:H3"/>
    <mergeCell ref="A5:A10"/>
    <mergeCell ref="A11:A16"/>
    <mergeCell ref="A17:A23"/>
    <mergeCell ref="A24:A33"/>
    <mergeCell ref="A1:I2"/>
    <mergeCell ref="C4:D4"/>
    <mergeCell ref="F4:G4"/>
    <mergeCell ref="A34:B35"/>
    <mergeCell ref="C34:E35"/>
    <mergeCell ref="F34:I35"/>
  </mergeCells>
  <phoneticPr fontId="3" type="noConversion"/>
  <conditionalFormatting sqref="C5:D33">
    <cfRule type="cellIs" dxfId="15" priority="11" stopIfTrue="1" operator="greaterThan">
      <formula>120</formula>
    </cfRule>
    <cfRule type="cellIs" dxfId="14" priority="12" stopIfTrue="1" operator="lessThan">
      <formula>90</formula>
    </cfRule>
  </conditionalFormatting>
  <conditionalFormatting sqref="C5:D33">
    <cfRule type="cellIs" dxfId="13" priority="9" stopIfTrue="1" operator="lessThan">
      <formula>60</formula>
    </cfRule>
    <cfRule type="cellIs" dxfId="12" priority="10" stopIfTrue="1" operator="greaterThan">
      <formula>90</formula>
    </cfRule>
  </conditionalFormatting>
  <conditionalFormatting sqref="C5:D9 C15:D33 C11:D13">
    <cfRule type="cellIs" dxfId="11" priority="5" stopIfTrue="1" operator="greaterThan">
      <formula>120</formula>
    </cfRule>
    <cfRule type="cellIs" dxfId="10" priority="6" stopIfTrue="1" operator="lessThan">
      <formula>90</formula>
    </cfRule>
    <cfRule type="cellIs" dxfId="9" priority="7" stopIfTrue="1" operator="lessThan">
      <formula>60</formula>
    </cfRule>
    <cfRule type="cellIs" dxfId="8" priority="8" stopIfTrue="1" operator="greaterThan">
      <formula>90</formula>
    </cfRule>
  </conditionalFormatting>
  <printOptions horizontalCentered="1" verticalCentered="1"/>
  <pageMargins left="0" right="0" top="0" bottom="0" header="0" footer="0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化学品用量</vt:lpstr>
      <vt:lpstr>分析记录4.1</vt:lpstr>
      <vt:lpstr>分析记录4.1 (2)</vt:lpstr>
    </vt:vector>
  </TitlesOfParts>
  <Company>FCI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Wukp</dc:creator>
  <cp:lastModifiedBy>xbany</cp:lastModifiedBy>
  <cp:lastPrinted>2025-05-21T02:55:39Z</cp:lastPrinted>
  <dcterms:created xsi:type="dcterms:W3CDTF">2016-03-01T19:48:00Z</dcterms:created>
  <dcterms:modified xsi:type="dcterms:W3CDTF">2025-05-21T02:58:59Z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2052-10.1.0.6391</vt:lpwstr>
  </property>
</Properties>
</file>