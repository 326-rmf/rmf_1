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725"/>
  </bookViews>
  <sheets>
    <sheet name="Sheet1" sheetId="1" r:id="rId1"/>
  </sheets>
  <externalReferences>
    <externalReference r:id="rId2"/>
  </externalReferences>
  <calcPr calcId="12451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/>
  <c r="H17"/>
  <c r="M15"/>
  <c r="N15" s="1"/>
  <c r="H15"/>
  <c r="N14"/>
  <c r="M14"/>
  <c r="H14"/>
  <c r="I14" s="1"/>
  <c r="O14" s="1"/>
  <c r="M13"/>
  <c r="N13" s="1"/>
  <c r="H13"/>
  <c r="N12"/>
  <c r="M12"/>
  <c r="H12"/>
  <c r="N11"/>
  <c r="M11"/>
  <c r="H11"/>
  <c r="M10"/>
  <c r="N10" s="1"/>
  <c r="H10"/>
  <c r="L9"/>
  <c r="M9" s="1"/>
  <c r="H9"/>
  <c r="L8"/>
  <c r="M8" s="1"/>
  <c r="H8"/>
  <c r="H7"/>
  <c r="H6"/>
  <c r="I8" s="1"/>
  <c r="O8" s="1"/>
  <c r="N8" l="1"/>
  <c r="V10" s="1"/>
  <c r="V13"/>
  <c r="V11"/>
  <c r="N9"/>
  <c r="V12" s="1"/>
  <c r="I15"/>
  <c r="O15" s="1"/>
  <c r="I12"/>
  <c r="O12" s="1"/>
  <c r="I13"/>
  <c r="O13" s="1"/>
  <c r="I7"/>
  <c r="I11"/>
  <c r="O11" s="1"/>
  <c r="I9"/>
  <c r="O9" s="1"/>
  <c r="I10"/>
  <c r="O10" s="1"/>
  <c r="I17"/>
  <c r="V9" l="1"/>
  <c r="J17" s="1"/>
  <c r="J15" l="1"/>
  <c r="J9"/>
  <c r="J13"/>
  <c r="J14"/>
  <c r="J12"/>
  <c r="J11"/>
  <c r="J10"/>
  <c r="J8"/>
</calcChain>
</file>

<file path=xl/sharedStrings.xml><?xml version="1.0" encoding="utf-8"?>
<sst xmlns="http://schemas.openxmlformats.org/spreadsheetml/2006/main" count="32" uniqueCount="23">
  <si>
    <t>Pt2000 Uniformer analysis by stalagmometer type B</t>
  </si>
  <si>
    <t>4#</t>
    <phoneticPr fontId="5" type="noConversion"/>
  </si>
  <si>
    <t>Be</t>
    <phoneticPr fontId="6"/>
  </si>
  <si>
    <t>Uniformer
(ml/L)</t>
    <phoneticPr fontId="7"/>
  </si>
  <si>
    <t>Drop</t>
    <phoneticPr fontId="6"/>
  </si>
  <si>
    <t>Surface tension
(mN/m)</t>
    <phoneticPr fontId="7"/>
  </si>
  <si>
    <t>Uniformer Cal.
(ml/L)</t>
    <phoneticPr fontId="7"/>
  </si>
  <si>
    <t>①</t>
    <phoneticPr fontId="7"/>
  </si>
  <si>
    <t>②</t>
    <phoneticPr fontId="7"/>
  </si>
  <si>
    <t>③</t>
    <phoneticPr fontId="7"/>
  </si>
  <si>
    <t>Ave</t>
    <phoneticPr fontId="6"/>
  </si>
  <si>
    <t>D.I.water</t>
    <phoneticPr fontId="6"/>
  </si>
  <si>
    <t>STD</t>
    <phoneticPr fontId="6"/>
  </si>
  <si>
    <t>X</t>
    <phoneticPr fontId="7"/>
  </si>
  <si>
    <t>logX</t>
    <phoneticPr fontId="7"/>
  </si>
  <si>
    <t>logX^2</t>
    <phoneticPr fontId="7"/>
  </si>
  <si>
    <t>Y</t>
    <phoneticPr fontId="7"/>
  </si>
  <si>
    <t>a</t>
    <phoneticPr fontId="7"/>
  </si>
  <si>
    <t>b</t>
    <phoneticPr fontId="7"/>
  </si>
  <si>
    <t>c</t>
    <phoneticPr fontId="7"/>
  </si>
  <si>
    <t>R2</t>
    <phoneticPr fontId="7"/>
  </si>
  <si>
    <t>滴数</t>
    <phoneticPr fontId="3" type="noConversion"/>
  </si>
  <si>
    <t>结果</t>
    <phoneticPr fontId="3" type="noConversion"/>
  </si>
</sst>
</file>

<file path=xl/styles.xml><?xml version="1.0" encoding="utf-8"?>
<styleSheet xmlns="http://schemas.openxmlformats.org/spreadsheetml/2006/main">
  <numFmts count="5">
    <numFmt numFmtId="176" formatCode="0.0"/>
    <numFmt numFmtId="177" formatCode="0.0_ "/>
    <numFmt numFmtId="178" formatCode="0.0;_Ⰰ"/>
    <numFmt numFmtId="179" formatCode="0.000_ "/>
    <numFmt numFmtId="180" formatCode="0.0000_ "/>
  </numFmts>
  <fonts count="10">
    <font>
      <sz val="11"/>
      <color theme="1"/>
      <name val="等线"/>
      <family val="2"/>
      <charset val="134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9"/>
      <name val="等线"/>
      <family val="2"/>
      <charset val="134"/>
      <scheme val="minor"/>
    </font>
    <font>
      <b/>
      <sz val="11"/>
      <name val="Meiryo UI"/>
      <family val="2"/>
      <charset val="128"/>
    </font>
    <font>
      <sz val="9"/>
      <name val="宋体"/>
      <family val="3"/>
      <charset val="134"/>
    </font>
    <font>
      <sz val="6"/>
      <name val="等线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Meiryo UI"/>
      <family val="3"/>
      <charset val="128"/>
    </font>
    <font>
      <sz val="14"/>
      <color theme="1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1" applyFont="1">
      <alignment vertical="center"/>
    </xf>
    <xf numFmtId="14" fontId="2" fillId="0" borderId="0" xfId="1" applyNumberFormat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0" xfId="1" applyFont="1" applyBorder="1">
      <alignment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1" fontId="8" fillId="4" borderId="13" xfId="1" applyNumberFormat="1" applyFont="1" applyFill="1" applyBorder="1" applyAlignment="1">
      <alignment horizontal="center" vertical="center"/>
    </xf>
    <xf numFmtId="176" fontId="8" fillId="0" borderId="13" xfId="1" applyNumberFormat="1" applyFont="1" applyBorder="1" applyAlignment="1">
      <alignment horizontal="center" vertical="center"/>
    </xf>
    <xf numFmtId="176" fontId="8" fillId="3" borderId="13" xfId="1" applyNumberFormat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 wrapText="1" shrinkToFit="1"/>
    </xf>
    <xf numFmtId="0" fontId="8" fillId="0" borderId="0" xfId="1" applyFont="1" applyBorder="1">
      <alignment vertical="center"/>
    </xf>
    <xf numFmtId="0" fontId="8" fillId="0" borderId="0" xfId="1" applyFont="1" applyAlignment="1">
      <alignment horizontal="center" vertical="center"/>
    </xf>
    <xf numFmtId="14" fontId="8" fillId="0" borderId="15" xfId="1" applyNumberFormat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 wrapText="1"/>
    </xf>
    <xf numFmtId="1" fontId="8" fillId="4" borderId="16" xfId="1" applyNumberFormat="1" applyFont="1" applyFill="1" applyBorder="1" applyAlignment="1">
      <alignment horizontal="center" vertical="center"/>
    </xf>
    <xf numFmtId="176" fontId="8" fillId="0" borderId="16" xfId="1" applyNumberFormat="1" applyFont="1" applyBorder="1" applyAlignment="1">
      <alignment horizontal="center" vertical="center"/>
    </xf>
    <xf numFmtId="176" fontId="8" fillId="3" borderId="16" xfId="1" applyNumberFormat="1" applyFont="1" applyFill="1" applyBorder="1" applyAlignment="1">
      <alignment horizontal="center" vertical="center"/>
    </xf>
    <xf numFmtId="177" fontId="8" fillId="3" borderId="17" xfId="1" applyNumberFormat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178" fontId="8" fillId="0" borderId="0" xfId="1" applyNumberFormat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179" fontId="8" fillId="0" borderId="13" xfId="1" applyNumberFormat="1" applyFont="1" applyBorder="1" applyAlignment="1">
      <alignment horizontal="center" vertical="center"/>
    </xf>
    <xf numFmtId="179" fontId="8" fillId="0" borderId="13" xfId="1" applyNumberFormat="1" applyFont="1" applyBorder="1">
      <alignment vertical="center"/>
    </xf>
    <xf numFmtId="178" fontId="8" fillId="0" borderId="14" xfId="1" applyNumberFormat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179" fontId="8" fillId="0" borderId="16" xfId="1" applyNumberFormat="1" applyFont="1" applyBorder="1" applyAlignment="1">
      <alignment horizontal="center" vertical="center"/>
    </xf>
    <xf numFmtId="179" fontId="8" fillId="0" borderId="16" xfId="1" applyNumberFormat="1" applyFont="1" applyBorder="1">
      <alignment vertical="center"/>
    </xf>
    <xf numFmtId="178" fontId="8" fillId="0" borderId="17" xfId="1" applyNumberFormat="1" applyFont="1" applyBorder="1" applyAlignment="1">
      <alignment horizontal="center" vertical="center"/>
    </xf>
    <xf numFmtId="180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0" fontId="8" fillId="0" borderId="0" xfId="1" applyFont="1">
      <alignment vertical="center"/>
    </xf>
    <xf numFmtId="180" fontId="2" fillId="5" borderId="21" xfId="1" applyNumberFormat="1" applyFont="1" applyFill="1" applyBorder="1">
      <alignment vertical="center"/>
    </xf>
    <xf numFmtId="0" fontId="8" fillId="0" borderId="15" xfId="1" applyFont="1" applyFill="1" applyBorder="1" applyAlignment="1">
      <alignment horizontal="center" vertical="center"/>
    </xf>
    <xf numFmtId="14" fontId="8" fillId="0" borderId="8" xfId="1" applyNumberFormat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/>
    </xf>
    <xf numFmtId="1" fontId="8" fillId="4" borderId="9" xfId="1" applyNumberFormat="1" applyFont="1" applyFill="1" applyBorder="1" applyAlignment="1">
      <alignment horizontal="center" vertical="center"/>
    </xf>
    <xf numFmtId="176" fontId="8" fillId="0" borderId="9" xfId="1" applyNumberFormat="1" applyFont="1" applyBorder="1" applyAlignment="1">
      <alignment horizontal="center" vertical="center"/>
    </xf>
    <xf numFmtId="176" fontId="8" fillId="3" borderId="9" xfId="1" applyNumberFormat="1" applyFont="1" applyFill="1" applyBorder="1" applyAlignment="1">
      <alignment horizontal="center" vertical="center"/>
    </xf>
    <xf numFmtId="177" fontId="8" fillId="3" borderId="11" xfId="1" applyNumberFormat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179" fontId="8" fillId="0" borderId="9" xfId="1" applyNumberFormat="1" applyFont="1" applyBorder="1" applyAlignment="1">
      <alignment horizontal="center" vertical="center"/>
    </xf>
    <xf numFmtId="179" fontId="8" fillId="0" borderId="9" xfId="1" applyNumberFormat="1" applyFont="1" applyBorder="1">
      <alignment vertical="center"/>
    </xf>
    <xf numFmtId="178" fontId="8" fillId="0" borderId="11" xfId="1" applyNumberFormat="1" applyFont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76" fontId="2" fillId="0" borderId="0" xfId="1" applyNumberFormat="1" applyFont="1" applyFill="1" applyBorder="1" applyAlignment="1">
      <alignment horizontal="center" vertical="center"/>
    </xf>
    <xf numFmtId="177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179" fontId="2" fillId="0" borderId="0" xfId="1" applyNumberFormat="1" applyFont="1" applyBorder="1" applyAlignment="1">
      <alignment horizontal="center" vertical="center"/>
    </xf>
    <xf numFmtId="178" fontId="2" fillId="0" borderId="0" xfId="1" applyNumberFormat="1" applyFont="1" applyBorder="1" applyAlignment="1">
      <alignment horizontal="center" vertical="center"/>
    </xf>
    <xf numFmtId="1" fontId="8" fillId="6" borderId="19" xfId="1" applyNumberFormat="1" applyFont="1" applyFill="1" applyBorder="1" applyAlignment="1">
      <alignment horizontal="center" vertical="center"/>
    </xf>
    <xf numFmtId="176" fontId="8" fillId="0" borderId="19" xfId="1" applyNumberFormat="1" applyFont="1" applyBorder="1" applyAlignment="1">
      <alignment horizontal="center" vertical="center"/>
    </xf>
    <xf numFmtId="176" fontId="8" fillId="3" borderId="25" xfId="1" applyNumberFormat="1" applyFont="1" applyFill="1" applyBorder="1" applyAlignment="1">
      <alignment horizontal="center" vertical="center"/>
    </xf>
    <xf numFmtId="177" fontId="8" fillId="7" borderId="2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2" borderId="6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 shrinkToFit="1"/>
    </xf>
    <xf numFmtId="0" fontId="2" fillId="2" borderId="11" xfId="1" applyFont="1" applyFill="1" applyBorder="1" applyAlignment="1">
      <alignment horizontal="center" vertical="center" wrapText="1" shrinkToFit="1"/>
    </xf>
    <xf numFmtId="14" fontId="8" fillId="0" borderId="22" xfId="1" applyNumberFormat="1" applyFont="1" applyBorder="1" applyAlignment="1">
      <alignment horizontal="center" vertical="center" wrapText="1"/>
    </xf>
    <xf numFmtId="14" fontId="8" fillId="0" borderId="23" xfId="1" applyNumberFormat="1" applyFont="1" applyBorder="1" applyAlignment="1">
      <alignment horizontal="center" vertical="center" wrapText="1"/>
    </xf>
    <xf numFmtId="14" fontId="8" fillId="0" borderId="24" xfId="1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</cellXfs>
  <cellStyles count="2">
    <cellStyle name="標準 2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intercept val="72.5"/>
            <c:dispEq val="1"/>
            <c:trendlineLbl>
              <c:layout/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ja-JP" sz="2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zh-CN"/>
                </a:p>
              </c:txPr>
            </c:trendlineLbl>
          </c:trendline>
          <c:xVal>
            <c:numRef>
              <c:f>滴数ベース!#REF!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滴数ベース!#REF!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FA17-4780-958B-16F3F471799A}"/>
            </c:ext>
          </c:extLst>
        </c:ser>
        <c:axId val="113272704"/>
        <c:axId val="113291264"/>
      </c:scatterChart>
      <c:valAx>
        <c:axId val="113272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ja-JP" sz="2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/>
                  <a:t>log[Additive E]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zh-CN"/>
          </a:p>
        </c:txPr>
        <c:crossAx val="113291264"/>
        <c:crosses val="autoZero"/>
        <c:crossBetween val="midCat"/>
      </c:valAx>
      <c:valAx>
        <c:axId val="11329126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ja-JP" sz="2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/>
                  <a:t>Tension(mN/m)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2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zh-CN"/>
          </a:p>
        </c:txPr>
        <c:crossAx val="11327270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zh-CN"/>
    </a:p>
  </c:txPr>
  <c:printSettings>
    <c:headerFooter alignWithMargins="0"/>
    <c:pageMargins b="1" l="0.75000000000000044" r="0.75000000000000044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602151719670844"/>
          <c:y val="9.4861843159128004E-2"/>
          <c:w val="0.74969736505180173"/>
          <c:h val="0.7549421684747265"/>
        </c:manualLayout>
      </c:layout>
      <c:scatterChart>
        <c:scatterStyle val="lineMarker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5709377063534606E-2"/>
                  <c:y val="0.16495882108473622"/>
                </c:manualLayout>
              </c:layout>
              <c:tx>
                <c:rich>
                  <a:bodyPr/>
                  <a:lstStyle/>
                  <a:p>
                    <a:pPr>
                      <a:defRPr lang="ja-JP" sz="700"/>
                    </a:pPr>
                    <a:r>
                      <a:rPr lang="en-US" altLang="zh-CN" baseline="0"/>
                      <a:t>y = -12.3698x</a:t>
                    </a:r>
                    <a:r>
                      <a:rPr lang="en-US" altLang="zh-CN" baseline="30000"/>
                      <a:t>2</a:t>
                    </a:r>
                    <a:r>
                      <a:rPr lang="en-US" altLang="zh-CN" baseline="0"/>
                      <a:t> + 18.3072x + 64.432</a:t>
                    </a:r>
                    <a:br>
                      <a:rPr lang="en-US" altLang="zh-CN" baseline="0"/>
                    </a:br>
                    <a:r>
                      <a:rPr lang="en-US" altLang="zh-CN" baseline="0"/>
                      <a:t>R² = 0.9897</a:t>
                    </a:r>
                    <a:endParaRPr lang="en-US" altLang="zh-CN"/>
                  </a:p>
                </c:rich>
              </c:tx>
              <c:numFmt formatCode="General" sourceLinked="0"/>
              <c:spPr>
                <a:solidFill>
                  <a:srgbClr val="CCFF99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'[1] 2#'!$M$8:$M$15</c:f>
              <c:numCache>
                <c:formatCode>General</c:formatCode>
                <c:ptCount val="8"/>
                <c:pt idx="0">
                  <c:v>1</c:v>
                </c:pt>
                <c:pt idx="1">
                  <c:v>1.3010299956639813</c:v>
                </c:pt>
                <c:pt idx="2">
                  <c:v>1.6020599913279623</c:v>
                </c:pt>
                <c:pt idx="3">
                  <c:v>1.7781512503836436</c:v>
                </c:pt>
                <c:pt idx="4">
                  <c:v>1.9030899869919435</c:v>
                </c:pt>
                <c:pt idx="5">
                  <c:v>2.0791812460476247</c:v>
                </c:pt>
                <c:pt idx="6">
                  <c:v>2.2041199826559246</c:v>
                </c:pt>
                <c:pt idx="7">
                  <c:v>2.3010299956639813</c:v>
                </c:pt>
              </c:numCache>
            </c:numRef>
          </c:xVal>
          <c:yVal>
            <c:numRef>
              <c:f>'[1] 2#'!$O$8:$O$15</c:f>
              <c:numCache>
                <c:formatCode>General</c:formatCode>
                <c:ptCount val="8"/>
                <c:pt idx="0">
                  <c:v>70.382022471910105</c:v>
                </c:pt>
                <c:pt idx="1">
                  <c:v>68.459016393442624</c:v>
                </c:pt>
                <c:pt idx="2">
                  <c:v>63.272727272727273</c:v>
                </c:pt>
                <c:pt idx="3">
                  <c:v>57.205479452054796</c:v>
                </c:pt>
                <c:pt idx="4">
                  <c:v>53.084745762711862</c:v>
                </c:pt>
                <c:pt idx="5">
                  <c:v>48</c:v>
                </c:pt>
                <c:pt idx="6">
                  <c:v>44.583629893238431</c:v>
                </c:pt>
                <c:pt idx="7">
                  <c:v>42.18181818181818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E6F8-49B6-AADC-AD4BF8BAFFCC}"/>
            </c:ext>
          </c:extLst>
        </c:ser>
        <c:axId val="113303552"/>
        <c:axId val="113305088"/>
      </c:scatterChart>
      <c:valAx>
        <c:axId val="113303552"/>
        <c:scaling>
          <c:orientation val="minMax"/>
          <c:min val="1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/>
            </a:pPr>
            <a:endParaRPr lang="zh-CN"/>
          </a:p>
        </c:txPr>
        <c:crossAx val="113305088"/>
        <c:crosses val="autoZero"/>
        <c:crossBetween val="midCat"/>
      </c:valAx>
      <c:valAx>
        <c:axId val="113305088"/>
        <c:scaling>
          <c:orientation val="minMax"/>
          <c:max val="80"/>
          <c:min val="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/>
            </a:pPr>
            <a:endParaRPr lang="zh-CN"/>
          </a:p>
        </c:txPr>
        <c:crossAx val="1133035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Meiryo UI" panose="020B0604030504040204" pitchFamily="50" charset="-128"/>
          <a:ea typeface="Meiryo UI" panose="020B0604030504040204" pitchFamily="50" charset="-128"/>
          <a:cs typeface="Meiryo UI" panose="020B0604030504040204" pitchFamily="50" charset="-128"/>
        </a:defRPr>
      </a:pPr>
      <a:endParaRPr lang="zh-CN"/>
    </a:p>
  </c:txPr>
  <c:printSettings>
    <c:headerFooter alignWithMargins="0"/>
    <c:pageMargins b="1" l="0.75000000000000044" r="0.75000000000000044" t="1" header="0.51200000000000001" footer="0.51200000000000001"/>
    <c:pageSetup paperSize="9" orientation="landscape" horizontalDpi="0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0</xdr:rowOff>
    </xdr:from>
    <xdr:to>
      <xdr:col>9</xdr:col>
      <xdr:colOff>0</xdr:colOff>
      <xdr:row>2</xdr:row>
      <xdr:rowOff>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72120</xdr:colOff>
      <xdr:row>3</xdr:row>
      <xdr:rowOff>88049</xdr:rowOff>
    </xdr:from>
    <xdr:to>
      <xdr:col>19</xdr:col>
      <xdr:colOff>163287</xdr:colOff>
      <xdr:row>16</xdr:row>
      <xdr:rowOff>161687</xdr:rowOff>
    </xdr:to>
    <xdr:graphicFrame macro="">
      <xdr:nvGraphicFramePr>
        <xdr:cNvPr id="3" name="グラフ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24</xdr:row>
      <xdr:rowOff>0</xdr:rowOff>
    </xdr:from>
    <xdr:to>
      <xdr:col>8</xdr:col>
      <xdr:colOff>238125</xdr:colOff>
      <xdr:row>25</xdr:row>
      <xdr:rowOff>208940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14650" y="4943475"/>
          <a:ext cx="3438525" cy="4184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n1kshi1/Work%20Folders/Desktop/Worksheet%20in%20PF-Pt2000%20Uniformer%20analysis%20%20stalagmoet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#（乾朔）"/>
      <sheetName val=" 2#"/>
      <sheetName val="3#"/>
      <sheetName val="4# to Kem"/>
      <sheetName val="5#"/>
      <sheetName val="6#"/>
      <sheetName val="7#"/>
      <sheetName val="8#"/>
      <sheetName val="old one（To customer 东莞）"/>
    </sheetNames>
    <sheetDataSet>
      <sheetData sheetId="0"/>
      <sheetData sheetId="1">
        <row r="8">
          <cell r="M8">
            <v>1</v>
          </cell>
          <cell r="O8">
            <v>70.382022471910105</v>
          </cell>
        </row>
        <row r="9">
          <cell r="M9">
            <v>1.3010299956639813</v>
          </cell>
          <cell r="O9">
            <v>68.459016393442624</v>
          </cell>
        </row>
        <row r="10">
          <cell r="M10">
            <v>1.6020599913279623</v>
          </cell>
          <cell r="O10">
            <v>63.272727272727273</v>
          </cell>
        </row>
        <row r="11">
          <cell r="M11">
            <v>1.7781512503836436</v>
          </cell>
          <cell r="O11">
            <v>57.205479452054796</v>
          </cell>
        </row>
        <row r="12">
          <cell r="M12">
            <v>1.9030899869919435</v>
          </cell>
          <cell r="O12">
            <v>53.084745762711862</v>
          </cell>
        </row>
        <row r="13">
          <cell r="M13">
            <v>2.0791812460476247</v>
          </cell>
          <cell r="O13">
            <v>48</v>
          </cell>
        </row>
        <row r="14">
          <cell r="M14">
            <v>2.2041199826559246</v>
          </cell>
          <cell r="O14">
            <v>44.583629893238431</v>
          </cell>
        </row>
        <row r="15">
          <cell r="M15">
            <v>2.3010299956639813</v>
          </cell>
          <cell r="O15">
            <v>42.18181818181818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W29"/>
  <sheetViews>
    <sheetView tabSelected="1" topLeftCell="E1" workbookViewId="0">
      <selection activeCell="M31" sqref="M31"/>
    </sheetView>
  </sheetViews>
  <sheetFormatPr defaultColWidth="9.875" defaultRowHeight="17.100000000000001" customHeight="1"/>
  <cols>
    <col min="1" max="1" width="3.375" style="3" customWidth="1"/>
    <col min="2" max="2" width="14" style="1" customWidth="1"/>
    <col min="3" max="3" width="9.25" style="1" customWidth="1"/>
    <col min="4" max="4" width="11.625" style="1" customWidth="1"/>
    <col min="5" max="8" width="10.5" style="1" customWidth="1"/>
    <col min="9" max="9" width="18.875" style="1" customWidth="1"/>
    <col min="10" max="10" width="16.375" style="1" bestFit="1" customWidth="1"/>
    <col min="11" max="11" width="12.625" style="1" customWidth="1"/>
    <col min="12" max="12" width="5.375" style="1" bestFit="1" customWidth="1"/>
    <col min="13" max="13" width="10.125" style="1" customWidth="1"/>
    <col min="14" max="14" width="8.875" style="1" bestFit="1" customWidth="1"/>
    <col min="15" max="15" width="6.125" style="1" bestFit="1" customWidth="1"/>
    <col min="16" max="17" width="9.875" style="1"/>
    <col min="18" max="18" width="10.375" style="1" customWidth="1"/>
    <col min="19" max="19" width="9.875" style="1"/>
    <col min="20" max="20" width="3.625" style="1" customWidth="1"/>
    <col min="21" max="21" width="4.25" style="1" bestFit="1" customWidth="1"/>
    <col min="22" max="22" width="12.375" style="1" bestFit="1" customWidth="1"/>
    <col min="23" max="23" width="9.875" style="1"/>
    <col min="24" max="256" width="9.875" style="3"/>
    <col min="257" max="257" width="10.875" style="3" bestFit="1" customWidth="1"/>
    <col min="258" max="258" width="13.75" style="3" customWidth="1"/>
    <col min="259" max="262" width="11" style="3" customWidth="1"/>
    <col min="263" max="263" width="10.875" style="3" bestFit="1" customWidth="1"/>
    <col min="264" max="265" width="9.875" style="3"/>
    <col min="266" max="266" width="12.375" style="3" customWidth="1"/>
    <col min="267" max="268" width="9.875" style="3"/>
    <col min="269" max="269" width="12.125" style="3" bestFit="1" customWidth="1"/>
    <col min="270" max="273" width="9.875" style="3"/>
    <col min="274" max="274" width="10.375" style="3" customWidth="1"/>
    <col min="275" max="512" width="9.875" style="3"/>
    <col min="513" max="513" width="10.875" style="3" bestFit="1" customWidth="1"/>
    <col min="514" max="514" width="13.75" style="3" customWidth="1"/>
    <col min="515" max="518" width="11" style="3" customWidth="1"/>
    <col min="519" max="519" width="10.875" style="3" bestFit="1" customWidth="1"/>
    <col min="520" max="521" width="9.875" style="3"/>
    <col min="522" max="522" width="12.375" style="3" customWidth="1"/>
    <col min="523" max="524" width="9.875" style="3"/>
    <col min="525" max="525" width="12.125" style="3" bestFit="1" customWidth="1"/>
    <col min="526" max="529" width="9.875" style="3"/>
    <col min="530" max="530" width="10.375" style="3" customWidth="1"/>
    <col min="531" max="768" width="9.875" style="3"/>
    <col min="769" max="769" width="10.875" style="3" bestFit="1" customWidth="1"/>
    <col min="770" max="770" width="13.75" style="3" customWidth="1"/>
    <col min="771" max="774" width="11" style="3" customWidth="1"/>
    <col min="775" max="775" width="10.875" style="3" bestFit="1" customWidth="1"/>
    <col min="776" max="777" width="9.875" style="3"/>
    <col min="778" max="778" width="12.375" style="3" customWidth="1"/>
    <col min="779" max="780" width="9.875" style="3"/>
    <col min="781" max="781" width="12.125" style="3" bestFit="1" customWidth="1"/>
    <col min="782" max="785" width="9.875" style="3"/>
    <col min="786" max="786" width="10.375" style="3" customWidth="1"/>
    <col min="787" max="1024" width="9.875" style="3"/>
    <col min="1025" max="1025" width="10.875" style="3" bestFit="1" customWidth="1"/>
    <col min="1026" max="1026" width="13.75" style="3" customWidth="1"/>
    <col min="1027" max="1030" width="11" style="3" customWidth="1"/>
    <col min="1031" max="1031" width="10.875" style="3" bestFit="1" customWidth="1"/>
    <col min="1032" max="1033" width="9.875" style="3"/>
    <col min="1034" max="1034" width="12.375" style="3" customWidth="1"/>
    <col min="1035" max="1036" width="9.875" style="3"/>
    <col min="1037" max="1037" width="12.125" style="3" bestFit="1" customWidth="1"/>
    <col min="1038" max="1041" width="9.875" style="3"/>
    <col min="1042" max="1042" width="10.375" style="3" customWidth="1"/>
    <col min="1043" max="1280" width="9.875" style="3"/>
    <col min="1281" max="1281" width="10.875" style="3" bestFit="1" customWidth="1"/>
    <col min="1282" max="1282" width="13.75" style="3" customWidth="1"/>
    <col min="1283" max="1286" width="11" style="3" customWidth="1"/>
    <col min="1287" max="1287" width="10.875" style="3" bestFit="1" customWidth="1"/>
    <col min="1288" max="1289" width="9.875" style="3"/>
    <col min="1290" max="1290" width="12.375" style="3" customWidth="1"/>
    <col min="1291" max="1292" width="9.875" style="3"/>
    <col min="1293" max="1293" width="12.125" style="3" bestFit="1" customWidth="1"/>
    <col min="1294" max="1297" width="9.875" style="3"/>
    <col min="1298" max="1298" width="10.375" style="3" customWidth="1"/>
    <col min="1299" max="1536" width="9.875" style="3"/>
    <col min="1537" max="1537" width="10.875" style="3" bestFit="1" customWidth="1"/>
    <col min="1538" max="1538" width="13.75" style="3" customWidth="1"/>
    <col min="1539" max="1542" width="11" style="3" customWidth="1"/>
    <col min="1543" max="1543" width="10.875" style="3" bestFit="1" customWidth="1"/>
    <col min="1544" max="1545" width="9.875" style="3"/>
    <col min="1546" max="1546" width="12.375" style="3" customWidth="1"/>
    <col min="1547" max="1548" width="9.875" style="3"/>
    <col min="1549" max="1549" width="12.125" style="3" bestFit="1" customWidth="1"/>
    <col min="1550" max="1553" width="9.875" style="3"/>
    <col min="1554" max="1554" width="10.375" style="3" customWidth="1"/>
    <col min="1555" max="1792" width="9.875" style="3"/>
    <col min="1793" max="1793" width="10.875" style="3" bestFit="1" customWidth="1"/>
    <col min="1794" max="1794" width="13.75" style="3" customWidth="1"/>
    <col min="1795" max="1798" width="11" style="3" customWidth="1"/>
    <col min="1799" max="1799" width="10.875" style="3" bestFit="1" customWidth="1"/>
    <col min="1800" max="1801" width="9.875" style="3"/>
    <col min="1802" max="1802" width="12.375" style="3" customWidth="1"/>
    <col min="1803" max="1804" width="9.875" style="3"/>
    <col min="1805" max="1805" width="12.125" style="3" bestFit="1" customWidth="1"/>
    <col min="1806" max="1809" width="9.875" style="3"/>
    <col min="1810" max="1810" width="10.375" style="3" customWidth="1"/>
    <col min="1811" max="2048" width="9.875" style="3"/>
    <col min="2049" max="2049" width="10.875" style="3" bestFit="1" customWidth="1"/>
    <col min="2050" max="2050" width="13.75" style="3" customWidth="1"/>
    <col min="2051" max="2054" width="11" style="3" customWidth="1"/>
    <col min="2055" max="2055" width="10.875" style="3" bestFit="1" customWidth="1"/>
    <col min="2056" max="2057" width="9.875" style="3"/>
    <col min="2058" max="2058" width="12.375" style="3" customWidth="1"/>
    <col min="2059" max="2060" width="9.875" style="3"/>
    <col min="2061" max="2061" width="12.125" style="3" bestFit="1" customWidth="1"/>
    <col min="2062" max="2065" width="9.875" style="3"/>
    <col min="2066" max="2066" width="10.375" style="3" customWidth="1"/>
    <col min="2067" max="2304" width="9.875" style="3"/>
    <col min="2305" max="2305" width="10.875" style="3" bestFit="1" customWidth="1"/>
    <col min="2306" max="2306" width="13.75" style="3" customWidth="1"/>
    <col min="2307" max="2310" width="11" style="3" customWidth="1"/>
    <col min="2311" max="2311" width="10.875" style="3" bestFit="1" customWidth="1"/>
    <col min="2312" max="2313" width="9.875" style="3"/>
    <col min="2314" max="2314" width="12.375" style="3" customWidth="1"/>
    <col min="2315" max="2316" width="9.875" style="3"/>
    <col min="2317" max="2317" width="12.125" style="3" bestFit="1" customWidth="1"/>
    <col min="2318" max="2321" width="9.875" style="3"/>
    <col min="2322" max="2322" width="10.375" style="3" customWidth="1"/>
    <col min="2323" max="2560" width="9.875" style="3"/>
    <col min="2561" max="2561" width="10.875" style="3" bestFit="1" customWidth="1"/>
    <col min="2562" max="2562" width="13.75" style="3" customWidth="1"/>
    <col min="2563" max="2566" width="11" style="3" customWidth="1"/>
    <col min="2567" max="2567" width="10.875" style="3" bestFit="1" customWidth="1"/>
    <col min="2568" max="2569" width="9.875" style="3"/>
    <col min="2570" max="2570" width="12.375" style="3" customWidth="1"/>
    <col min="2571" max="2572" width="9.875" style="3"/>
    <col min="2573" max="2573" width="12.125" style="3" bestFit="1" customWidth="1"/>
    <col min="2574" max="2577" width="9.875" style="3"/>
    <col min="2578" max="2578" width="10.375" style="3" customWidth="1"/>
    <col min="2579" max="2816" width="9.875" style="3"/>
    <col min="2817" max="2817" width="10.875" style="3" bestFit="1" customWidth="1"/>
    <col min="2818" max="2818" width="13.75" style="3" customWidth="1"/>
    <col min="2819" max="2822" width="11" style="3" customWidth="1"/>
    <col min="2823" max="2823" width="10.875" style="3" bestFit="1" customWidth="1"/>
    <col min="2824" max="2825" width="9.875" style="3"/>
    <col min="2826" max="2826" width="12.375" style="3" customWidth="1"/>
    <col min="2827" max="2828" width="9.875" style="3"/>
    <col min="2829" max="2829" width="12.125" style="3" bestFit="1" customWidth="1"/>
    <col min="2830" max="2833" width="9.875" style="3"/>
    <col min="2834" max="2834" width="10.375" style="3" customWidth="1"/>
    <col min="2835" max="3072" width="9.875" style="3"/>
    <col min="3073" max="3073" width="10.875" style="3" bestFit="1" customWidth="1"/>
    <col min="3074" max="3074" width="13.75" style="3" customWidth="1"/>
    <col min="3075" max="3078" width="11" style="3" customWidth="1"/>
    <col min="3079" max="3079" width="10.875" style="3" bestFit="1" customWidth="1"/>
    <col min="3080" max="3081" width="9.875" style="3"/>
    <col min="3082" max="3082" width="12.375" style="3" customWidth="1"/>
    <col min="3083" max="3084" width="9.875" style="3"/>
    <col min="3085" max="3085" width="12.125" style="3" bestFit="1" customWidth="1"/>
    <col min="3086" max="3089" width="9.875" style="3"/>
    <col min="3090" max="3090" width="10.375" style="3" customWidth="1"/>
    <col min="3091" max="3328" width="9.875" style="3"/>
    <col min="3329" max="3329" width="10.875" style="3" bestFit="1" customWidth="1"/>
    <col min="3330" max="3330" width="13.75" style="3" customWidth="1"/>
    <col min="3331" max="3334" width="11" style="3" customWidth="1"/>
    <col min="3335" max="3335" width="10.875" style="3" bestFit="1" customWidth="1"/>
    <col min="3336" max="3337" width="9.875" style="3"/>
    <col min="3338" max="3338" width="12.375" style="3" customWidth="1"/>
    <col min="3339" max="3340" width="9.875" style="3"/>
    <col min="3341" max="3341" width="12.125" style="3" bestFit="1" customWidth="1"/>
    <col min="3342" max="3345" width="9.875" style="3"/>
    <col min="3346" max="3346" width="10.375" style="3" customWidth="1"/>
    <col min="3347" max="3584" width="9.875" style="3"/>
    <col min="3585" max="3585" width="10.875" style="3" bestFit="1" customWidth="1"/>
    <col min="3586" max="3586" width="13.75" style="3" customWidth="1"/>
    <col min="3587" max="3590" width="11" style="3" customWidth="1"/>
    <col min="3591" max="3591" width="10.875" style="3" bestFit="1" customWidth="1"/>
    <col min="3592" max="3593" width="9.875" style="3"/>
    <col min="3594" max="3594" width="12.375" style="3" customWidth="1"/>
    <col min="3595" max="3596" width="9.875" style="3"/>
    <col min="3597" max="3597" width="12.125" style="3" bestFit="1" customWidth="1"/>
    <col min="3598" max="3601" width="9.875" style="3"/>
    <col min="3602" max="3602" width="10.375" style="3" customWidth="1"/>
    <col min="3603" max="3840" width="9.875" style="3"/>
    <col min="3841" max="3841" width="10.875" style="3" bestFit="1" customWidth="1"/>
    <col min="3842" max="3842" width="13.75" style="3" customWidth="1"/>
    <col min="3843" max="3846" width="11" style="3" customWidth="1"/>
    <col min="3847" max="3847" width="10.875" style="3" bestFit="1" customWidth="1"/>
    <col min="3848" max="3849" width="9.875" style="3"/>
    <col min="3850" max="3850" width="12.375" style="3" customWidth="1"/>
    <col min="3851" max="3852" width="9.875" style="3"/>
    <col min="3853" max="3853" width="12.125" style="3" bestFit="1" customWidth="1"/>
    <col min="3854" max="3857" width="9.875" style="3"/>
    <col min="3858" max="3858" width="10.375" style="3" customWidth="1"/>
    <col min="3859" max="4096" width="9.875" style="3"/>
    <col min="4097" max="4097" width="10.875" style="3" bestFit="1" customWidth="1"/>
    <col min="4098" max="4098" width="13.75" style="3" customWidth="1"/>
    <col min="4099" max="4102" width="11" style="3" customWidth="1"/>
    <col min="4103" max="4103" width="10.875" style="3" bestFit="1" customWidth="1"/>
    <col min="4104" max="4105" width="9.875" style="3"/>
    <col min="4106" max="4106" width="12.375" style="3" customWidth="1"/>
    <col min="4107" max="4108" width="9.875" style="3"/>
    <col min="4109" max="4109" width="12.125" style="3" bestFit="1" customWidth="1"/>
    <col min="4110" max="4113" width="9.875" style="3"/>
    <col min="4114" max="4114" width="10.375" style="3" customWidth="1"/>
    <col min="4115" max="4352" width="9.875" style="3"/>
    <col min="4353" max="4353" width="10.875" style="3" bestFit="1" customWidth="1"/>
    <col min="4354" max="4354" width="13.75" style="3" customWidth="1"/>
    <col min="4355" max="4358" width="11" style="3" customWidth="1"/>
    <col min="4359" max="4359" width="10.875" style="3" bestFit="1" customWidth="1"/>
    <col min="4360" max="4361" width="9.875" style="3"/>
    <col min="4362" max="4362" width="12.375" style="3" customWidth="1"/>
    <col min="4363" max="4364" width="9.875" style="3"/>
    <col min="4365" max="4365" width="12.125" style="3" bestFit="1" customWidth="1"/>
    <col min="4366" max="4369" width="9.875" style="3"/>
    <col min="4370" max="4370" width="10.375" style="3" customWidth="1"/>
    <col min="4371" max="4608" width="9.875" style="3"/>
    <col min="4609" max="4609" width="10.875" style="3" bestFit="1" customWidth="1"/>
    <col min="4610" max="4610" width="13.75" style="3" customWidth="1"/>
    <col min="4611" max="4614" width="11" style="3" customWidth="1"/>
    <col min="4615" max="4615" width="10.875" style="3" bestFit="1" customWidth="1"/>
    <col min="4616" max="4617" width="9.875" style="3"/>
    <col min="4618" max="4618" width="12.375" style="3" customWidth="1"/>
    <col min="4619" max="4620" width="9.875" style="3"/>
    <col min="4621" max="4621" width="12.125" style="3" bestFit="1" customWidth="1"/>
    <col min="4622" max="4625" width="9.875" style="3"/>
    <col min="4626" max="4626" width="10.375" style="3" customWidth="1"/>
    <col min="4627" max="4864" width="9.875" style="3"/>
    <col min="4865" max="4865" width="10.875" style="3" bestFit="1" customWidth="1"/>
    <col min="4866" max="4866" width="13.75" style="3" customWidth="1"/>
    <col min="4867" max="4870" width="11" style="3" customWidth="1"/>
    <col min="4871" max="4871" width="10.875" style="3" bestFit="1" customWidth="1"/>
    <col min="4872" max="4873" width="9.875" style="3"/>
    <col min="4874" max="4874" width="12.375" style="3" customWidth="1"/>
    <col min="4875" max="4876" width="9.875" style="3"/>
    <col min="4877" max="4877" width="12.125" style="3" bestFit="1" customWidth="1"/>
    <col min="4878" max="4881" width="9.875" style="3"/>
    <col min="4882" max="4882" width="10.375" style="3" customWidth="1"/>
    <col min="4883" max="5120" width="9.875" style="3"/>
    <col min="5121" max="5121" width="10.875" style="3" bestFit="1" customWidth="1"/>
    <col min="5122" max="5122" width="13.75" style="3" customWidth="1"/>
    <col min="5123" max="5126" width="11" style="3" customWidth="1"/>
    <col min="5127" max="5127" width="10.875" style="3" bestFit="1" customWidth="1"/>
    <col min="5128" max="5129" width="9.875" style="3"/>
    <col min="5130" max="5130" width="12.375" style="3" customWidth="1"/>
    <col min="5131" max="5132" width="9.875" style="3"/>
    <col min="5133" max="5133" width="12.125" style="3" bestFit="1" customWidth="1"/>
    <col min="5134" max="5137" width="9.875" style="3"/>
    <col min="5138" max="5138" width="10.375" style="3" customWidth="1"/>
    <col min="5139" max="5376" width="9.875" style="3"/>
    <col min="5377" max="5377" width="10.875" style="3" bestFit="1" customWidth="1"/>
    <col min="5378" max="5378" width="13.75" style="3" customWidth="1"/>
    <col min="5379" max="5382" width="11" style="3" customWidth="1"/>
    <col min="5383" max="5383" width="10.875" style="3" bestFit="1" customWidth="1"/>
    <col min="5384" max="5385" width="9.875" style="3"/>
    <col min="5386" max="5386" width="12.375" style="3" customWidth="1"/>
    <col min="5387" max="5388" width="9.875" style="3"/>
    <col min="5389" max="5389" width="12.125" style="3" bestFit="1" customWidth="1"/>
    <col min="5390" max="5393" width="9.875" style="3"/>
    <col min="5394" max="5394" width="10.375" style="3" customWidth="1"/>
    <col min="5395" max="5632" width="9.875" style="3"/>
    <col min="5633" max="5633" width="10.875" style="3" bestFit="1" customWidth="1"/>
    <col min="5634" max="5634" width="13.75" style="3" customWidth="1"/>
    <col min="5635" max="5638" width="11" style="3" customWidth="1"/>
    <col min="5639" max="5639" width="10.875" style="3" bestFit="1" customWidth="1"/>
    <col min="5640" max="5641" width="9.875" style="3"/>
    <col min="5642" max="5642" width="12.375" style="3" customWidth="1"/>
    <col min="5643" max="5644" width="9.875" style="3"/>
    <col min="5645" max="5645" width="12.125" style="3" bestFit="1" customWidth="1"/>
    <col min="5646" max="5649" width="9.875" style="3"/>
    <col min="5650" max="5650" width="10.375" style="3" customWidth="1"/>
    <col min="5651" max="5888" width="9.875" style="3"/>
    <col min="5889" max="5889" width="10.875" style="3" bestFit="1" customWidth="1"/>
    <col min="5890" max="5890" width="13.75" style="3" customWidth="1"/>
    <col min="5891" max="5894" width="11" style="3" customWidth="1"/>
    <col min="5895" max="5895" width="10.875" style="3" bestFit="1" customWidth="1"/>
    <col min="5896" max="5897" width="9.875" style="3"/>
    <col min="5898" max="5898" width="12.375" style="3" customWidth="1"/>
    <col min="5899" max="5900" width="9.875" style="3"/>
    <col min="5901" max="5901" width="12.125" style="3" bestFit="1" customWidth="1"/>
    <col min="5902" max="5905" width="9.875" style="3"/>
    <col min="5906" max="5906" width="10.375" style="3" customWidth="1"/>
    <col min="5907" max="6144" width="9.875" style="3"/>
    <col min="6145" max="6145" width="10.875" style="3" bestFit="1" customWidth="1"/>
    <col min="6146" max="6146" width="13.75" style="3" customWidth="1"/>
    <col min="6147" max="6150" width="11" style="3" customWidth="1"/>
    <col min="6151" max="6151" width="10.875" style="3" bestFit="1" customWidth="1"/>
    <col min="6152" max="6153" width="9.875" style="3"/>
    <col min="6154" max="6154" width="12.375" style="3" customWidth="1"/>
    <col min="6155" max="6156" width="9.875" style="3"/>
    <col min="6157" max="6157" width="12.125" style="3" bestFit="1" customWidth="1"/>
    <col min="6158" max="6161" width="9.875" style="3"/>
    <col min="6162" max="6162" width="10.375" style="3" customWidth="1"/>
    <col min="6163" max="6400" width="9.875" style="3"/>
    <col min="6401" max="6401" width="10.875" style="3" bestFit="1" customWidth="1"/>
    <col min="6402" max="6402" width="13.75" style="3" customWidth="1"/>
    <col min="6403" max="6406" width="11" style="3" customWidth="1"/>
    <col min="6407" max="6407" width="10.875" style="3" bestFit="1" customWidth="1"/>
    <col min="6408" max="6409" width="9.875" style="3"/>
    <col min="6410" max="6410" width="12.375" style="3" customWidth="1"/>
    <col min="6411" max="6412" width="9.875" style="3"/>
    <col min="6413" max="6413" width="12.125" style="3" bestFit="1" customWidth="1"/>
    <col min="6414" max="6417" width="9.875" style="3"/>
    <col min="6418" max="6418" width="10.375" style="3" customWidth="1"/>
    <col min="6419" max="6656" width="9.875" style="3"/>
    <col min="6657" max="6657" width="10.875" style="3" bestFit="1" customWidth="1"/>
    <col min="6658" max="6658" width="13.75" style="3" customWidth="1"/>
    <col min="6659" max="6662" width="11" style="3" customWidth="1"/>
    <col min="6663" max="6663" width="10.875" style="3" bestFit="1" customWidth="1"/>
    <col min="6664" max="6665" width="9.875" style="3"/>
    <col min="6666" max="6666" width="12.375" style="3" customWidth="1"/>
    <col min="6667" max="6668" width="9.875" style="3"/>
    <col min="6669" max="6669" width="12.125" style="3" bestFit="1" customWidth="1"/>
    <col min="6670" max="6673" width="9.875" style="3"/>
    <col min="6674" max="6674" width="10.375" style="3" customWidth="1"/>
    <col min="6675" max="6912" width="9.875" style="3"/>
    <col min="6913" max="6913" width="10.875" style="3" bestFit="1" customWidth="1"/>
    <col min="6914" max="6914" width="13.75" style="3" customWidth="1"/>
    <col min="6915" max="6918" width="11" style="3" customWidth="1"/>
    <col min="6919" max="6919" width="10.875" style="3" bestFit="1" customWidth="1"/>
    <col min="6920" max="6921" width="9.875" style="3"/>
    <col min="6922" max="6922" width="12.375" style="3" customWidth="1"/>
    <col min="6923" max="6924" width="9.875" style="3"/>
    <col min="6925" max="6925" width="12.125" style="3" bestFit="1" customWidth="1"/>
    <col min="6926" max="6929" width="9.875" style="3"/>
    <col min="6930" max="6930" width="10.375" style="3" customWidth="1"/>
    <col min="6931" max="7168" width="9.875" style="3"/>
    <col min="7169" max="7169" width="10.875" style="3" bestFit="1" customWidth="1"/>
    <col min="7170" max="7170" width="13.75" style="3" customWidth="1"/>
    <col min="7171" max="7174" width="11" style="3" customWidth="1"/>
    <col min="7175" max="7175" width="10.875" style="3" bestFit="1" customWidth="1"/>
    <col min="7176" max="7177" width="9.875" style="3"/>
    <col min="7178" max="7178" width="12.375" style="3" customWidth="1"/>
    <col min="7179" max="7180" width="9.875" style="3"/>
    <col min="7181" max="7181" width="12.125" style="3" bestFit="1" customWidth="1"/>
    <col min="7182" max="7185" width="9.875" style="3"/>
    <col min="7186" max="7186" width="10.375" style="3" customWidth="1"/>
    <col min="7187" max="7424" width="9.875" style="3"/>
    <col min="7425" max="7425" width="10.875" style="3" bestFit="1" customWidth="1"/>
    <col min="7426" max="7426" width="13.75" style="3" customWidth="1"/>
    <col min="7427" max="7430" width="11" style="3" customWidth="1"/>
    <col min="7431" max="7431" width="10.875" style="3" bestFit="1" customWidth="1"/>
    <col min="7432" max="7433" width="9.875" style="3"/>
    <col min="7434" max="7434" width="12.375" style="3" customWidth="1"/>
    <col min="7435" max="7436" width="9.875" style="3"/>
    <col min="7437" max="7437" width="12.125" style="3" bestFit="1" customWidth="1"/>
    <col min="7438" max="7441" width="9.875" style="3"/>
    <col min="7442" max="7442" width="10.375" style="3" customWidth="1"/>
    <col min="7443" max="7680" width="9.875" style="3"/>
    <col min="7681" max="7681" width="10.875" style="3" bestFit="1" customWidth="1"/>
    <col min="7682" max="7682" width="13.75" style="3" customWidth="1"/>
    <col min="7683" max="7686" width="11" style="3" customWidth="1"/>
    <col min="7687" max="7687" width="10.875" style="3" bestFit="1" customWidth="1"/>
    <col min="7688" max="7689" width="9.875" style="3"/>
    <col min="7690" max="7690" width="12.375" style="3" customWidth="1"/>
    <col min="7691" max="7692" width="9.875" style="3"/>
    <col min="7693" max="7693" width="12.125" style="3" bestFit="1" customWidth="1"/>
    <col min="7694" max="7697" width="9.875" style="3"/>
    <col min="7698" max="7698" width="10.375" style="3" customWidth="1"/>
    <col min="7699" max="7936" width="9.875" style="3"/>
    <col min="7937" max="7937" width="10.875" style="3" bestFit="1" customWidth="1"/>
    <col min="7938" max="7938" width="13.75" style="3" customWidth="1"/>
    <col min="7939" max="7942" width="11" style="3" customWidth="1"/>
    <col min="7943" max="7943" width="10.875" style="3" bestFit="1" customWidth="1"/>
    <col min="7944" max="7945" width="9.875" style="3"/>
    <col min="7946" max="7946" width="12.375" style="3" customWidth="1"/>
    <col min="7947" max="7948" width="9.875" style="3"/>
    <col min="7949" max="7949" width="12.125" style="3" bestFit="1" customWidth="1"/>
    <col min="7950" max="7953" width="9.875" style="3"/>
    <col min="7954" max="7954" width="10.375" style="3" customWidth="1"/>
    <col min="7955" max="8192" width="9.875" style="3"/>
    <col min="8193" max="8193" width="10.875" style="3" bestFit="1" customWidth="1"/>
    <col min="8194" max="8194" width="13.75" style="3" customWidth="1"/>
    <col min="8195" max="8198" width="11" style="3" customWidth="1"/>
    <col min="8199" max="8199" width="10.875" style="3" bestFit="1" customWidth="1"/>
    <col min="8200" max="8201" width="9.875" style="3"/>
    <col min="8202" max="8202" width="12.375" style="3" customWidth="1"/>
    <col min="8203" max="8204" width="9.875" style="3"/>
    <col min="8205" max="8205" width="12.125" style="3" bestFit="1" customWidth="1"/>
    <col min="8206" max="8209" width="9.875" style="3"/>
    <col min="8210" max="8210" width="10.375" style="3" customWidth="1"/>
    <col min="8211" max="8448" width="9.875" style="3"/>
    <col min="8449" max="8449" width="10.875" style="3" bestFit="1" customWidth="1"/>
    <col min="8450" max="8450" width="13.75" style="3" customWidth="1"/>
    <col min="8451" max="8454" width="11" style="3" customWidth="1"/>
    <col min="8455" max="8455" width="10.875" style="3" bestFit="1" customWidth="1"/>
    <col min="8456" max="8457" width="9.875" style="3"/>
    <col min="8458" max="8458" width="12.375" style="3" customWidth="1"/>
    <col min="8459" max="8460" width="9.875" style="3"/>
    <col min="8461" max="8461" width="12.125" style="3" bestFit="1" customWidth="1"/>
    <col min="8462" max="8465" width="9.875" style="3"/>
    <col min="8466" max="8466" width="10.375" style="3" customWidth="1"/>
    <col min="8467" max="8704" width="9.875" style="3"/>
    <col min="8705" max="8705" width="10.875" style="3" bestFit="1" customWidth="1"/>
    <col min="8706" max="8706" width="13.75" style="3" customWidth="1"/>
    <col min="8707" max="8710" width="11" style="3" customWidth="1"/>
    <col min="8711" max="8711" width="10.875" style="3" bestFit="1" customWidth="1"/>
    <col min="8712" max="8713" width="9.875" style="3"/>
    <col min="8714" max="8714" width="12.375" style="3" customWidth="1"/>
    <col min="8715" max="8716" width="9.875" style="3"/>
    <col min="8717" max="8717" width="12.125" style="3" bestFit="1" customWidth="1"/>
    <col min="8718" max="8721" width="9.875" style="3"/>
    <col min="8722" max="8722" width="10.375" style="3" customWidth="1"/>
    <col min="8723" max="8960" width="9.875" style="3"/>
    <col min="8961" max="8961" width="10.875" style="3" bestFit="1" customWidth="1"/>
    <col min="8962" max="8962" width="13.75" style="3" customWidth="1"/>
    <col min="8963" max="8966" width="11" style="3" customWidth="1"/>
    <col min="8967" max="8967" width="10.875" style="3" bestFit="1" customWidth="1"/>
    <col min="8968" max="8969" width="9.875" style="3"/>
    <col min="8970" max="8970" width="12.375" style="3" customWidth="1"/>
    <col min="8971" max="8972" width="9.875" style="3"/>
    <col min="8973" max="8973" width="12.125" style="3" bestFit="1" customWidth="1"/>
    <col min="8974" max="8977" width="9.875" style="3"/>
    <col min="8978" max="8978" width="10.375" style="3" customWidth="1"/>
    <col min="8979" max="9216" width="9.875" style="3"/>
    <col min="9217" max="9217" width="10.875" style="3" bestFit="1" customWidth="1"/>
    <col min="9218" max="9218" width="13.75" style="3" customWidth="1"/>
    <col min="9219" max="9222" width="11" style="3" customWidth="1"/>
    <col min="9223" max="9223" width="10.875" style="3" bestFit="1" customWidth="1"/>
    <col min="9224" max="9225" width="9.875" style="3"/>
    <col min="9226" max="9226" width="12.375" style="3" customWidth="1"/>
    <col min="9227" max="9228" width="9.875" style="3"/>
    <col min="9229" max="9229" width="12.125" style="3" bestFit="1" customWidth="1"/>
    <col min="9230" max="9233" width="9.875" style="3"/>
    <col min="9234" max="9234" width="10.375" style="3" customWidth="1"/>
    <col min="9235" max="9472" width="9.875" style="3"/>
    <col min="9473" max="9473" width="10.875" style="3" bestFit="1" customWidth="1"/>
    <col min="9474" max="9474" width="13.75" style="3" customWidth="1"/>
    <col min="9475" max="9478" width="11" style="3" customWidth="1"/>
    <col min="9479" max="9479" width="10.875" style="3" bestFit="1" customWidth="1"/>
    <col min="9480" max="9481" width="9.875" style="3"/>
    <col min="9482" max="9482" width="12.375" style="3" customWidth="1"/>
    <col min="9483" max="9484" width="9.875" style="3"/>
    <col min="9485" max="9485" width="12.125" style="3" bestFit="1" customWidth="1"/>
    <col min="9486" max="9489" width="9.875" style="3"/>
    <col min="9490" max="9490" width="10.375" style="3" customWidth="1"/>
    <col min="9491" max="9728" width="9.875" style="3"/>
    <col min="9729" max="9729" width="10.875" style="3" bestFit="1" customWidth="1"/>
    <col min="9730" max="9730" width="13.75" style="3" customWidth="1"/>
    <col min="9731" max="9734" width="11" style="3" customWidth="1"/>
    <col min="9735" max="9735" width="10.875" style="3" bestFit="1" customWidth="1"/>
    <col min="9736" max="9737" width="9.875" style="3"/>
    <col min="9738" max="9738" width="12.375" style="3" customWidth="1"/>
    <col min="9739" max="9740" width="9.875" style="3"/>
    <col min="9741" max="9741" width="12.125" style="3" bestFit="1" customWidth="1"/>
    <col min="9742" max="9745" width="9.875" style="3"/>
    <col min="9746" max="9746" width="10.375" style="3" customWidth="1"/>
    <col min="9747" max="9984" width="9.875" style="3"/>
    <col min="9985" max="9985" width="10.875" style="3" bestFit="1" customWidth="1"/>
    <col min="9986" max="9986" width="13.75" style="3" customWidth="1"/>
    <col min="9987" max="9990" width="11" style="3" customWidth="1"/>
    <col min="9991" max="9991" width="10.875" style="3" bestFit="1" customWidth="1"/>
    <col min="9992" max="9993" width="9.875" style="3"/>
    <col min="9994" max="9994" width="12.375" style="3" customWidth="1"/>
    <col min="9995" max="9996" width="9.875" style="3"/>
    <col min="9997" max="9997" width="12.125" style="3" bestFit="1" customWidth="1"/>
    <col min="9998" max="10001" width="9.875" style="3"/>
    <col min="10002" max="10002" width="10.375" style="3" customWidth="1"/>
    <col min="10003" max="10240" width="9.875" style="3"/>
    <col min="10241" max="10241" width="10.875" style="3" bestFit="1" customWidth="1"/>
    <col min="10242" max="10242" width="13.75" style="3" customWidth="1"/>
    <col min="10243" max="10246" width="11" style="3" customWidth="1"/>
    <col min="10247" max="10247" width="10.875" style="3" bestFit="1" customWidth="1"/>
    <col min="10248" max="10249" width="9.875" style="3"/>
    <col min="10250" max="10250" width="12.375" style="3" customWidth="1"/>
    <col min="10251" max="10252" width="9.875" style="3"/>
    <col min="10253" max="10253" width="12.125" style="3" bestFit="1" customWidth="1"/>
    <col min="10254" max="10257" width="9.875" style="3"/>
    <col min="10258" max="10258" width="10.375" style="3" customWidth="1"/>
    <col min="10259" max="10496" width="9.875" style="3"/>
    <col min="10497" max="10497" width="10.875" style="3" bestFit="1" customWidth="1"/>
    <col min="10498" max="10498" width="13.75" style="3" customWidth="1"/>
    <col min="10499" max="10502" width="11" style="3" customWidth="1"/>
    <col min="10503" max="10503" width="10.875" style="3" bestFit="1" customWidth="1"/>
    <col min="10504" max="10505" width="9.875" style="3"/>
    <col min="10506" max="10506" width="12.375" style="3" customWidth="1"/>
    <col min="10507" max="10508" width="9.875" style="3"/>
    <col min="10509" max="10509" width="12.125" style="3" bestFit="1" customWidth="1"/>
    <col min="10510" max="10513" width="9.875" style="3"/>
    <col min="10514" max="10514" width="10.375" style="3" customWidth="1"/>
    <col min="10515" max="10752" width="9.875" style="3"/>
    <col min="10753" max="10753" width="10.875" style="3" bestFit="1" customWidth="1"/>
    <col min="10754" max="10754" width="13.75" style="3" customWidth="1"/>
    <col min="10755" max="10758" width="11" style="3" customWidth="1"/>
    <col min="10759" max="10759" width="10.875" style="3" bestFit="1" customWidth="1"/>
    <col min="10760" max="10761" width="9.875" style="3"/>
    <col min="10762" max="10762" width="12.375" style="3" customWidth="1"/>
    <col min="10763" max="10764" width="9.875" style="3"/>
    <col min="10765" max="10765" width="12.125" style="3" bestFit="1" customWidth="1"/>
    <col min="10766" max="10769" width="9.875" style="3"/>
    <col min="10770" max="10770" width="10.375" style="3" customWidth="1"/>
    <col min="10771" max="11008" width="9.875" style="3"/>
    <col min="11009" max="11009" width="10.875" style="3" bestFit="1" customWidth="1"/>
    <col min="11010" max="11010" width="13.75" style="3" customWidth="1"/>
    <col min="11011" max="11014" width="11" style="3" customWidth="1"/>
    <col min="11015" max="11015" width="10.875" style="3" bestFit="1" customWidth="1"/>
    <col min="11016" max="11017" width="9.875" style="3"/>
    <col min="11018" max="11018" width="12.375" style="3" customWidth="1"/>
    <col min="11019" max="11020" width="9.875" style="3"/>
    <col min="11021" max="11021" width="12.125" style="3" bestFit="1" customWidth="1"/>
    <col min="11022" max="11025" width="9.875" style="3"/>
    <col min="11026" max="11026" width="10.375" style="3" customWidth="1"/>
    <col min="11027" max="11264" width="9.875" style="3"/>
    <col min="11265" max="11265" width="10.875" style="3" bestFit="1" customWidth="1"/>
    <col min="11266" max="11266" width="13.75" style="3" customWidth="1"/>
    <col min="11267" max="11270" width="11" style="3" customWidth="1"/>
    <col min="11271" max="11271" width="10.875" style="3" bestFit="1" customWidth="1"/>
    <col min="11272" max="11273" width="9.875" style="3"/>
    <col min="11274" max="11274" width="12.375" style="3" customWidth="1"/>
    <col min="11275" max="11276" width="9.875" style="3"/>
    <col min="11277" max="11277" width="12.125" style="3" bestFit="1" customWidth="1"/>
    <col min="11278" max="11281" width="9.875" style="3"/>
    <col min="11282" max="11282" width="10.375" style="3" customWidth="1"/>
    <col min="11283" max="11520" width="9.875" style="3"/>
    <col min="11521" max="11521" width="10.875" style="3" bestFit="1" customWidth="1"/>
    <col min="11522" max="11522" width="13.75" style="3" customWidth="1"/>
    <col min="11523" max="11526" width="11" style="3" customWidth="1"/>
    <col min="11527" max="11527" width="10.875" style="3" bestFit="1" customWidth="1"/>
    <col min="11528" max="11529" width="9.875" style="3"/>
    <col min="11530" max="11530" width="12.375" style="3" customWidth="1"/>
    <col min="11531" max="11532" width="9.875" style="3"/>
    <col min="11533" max="11533" width="12.125" style="3" bestFit="1" customWidth="1"/>
    <col min="11534" max="11537" width="9.875" style="3"/>
    <col min="11538" max="11538" width="10.375" style="3" customWidth="1"/>
    <col min="11539" max="11776" width="9.875" style="3"/>
    <col min="11777" max="11777" width="10.875" style="3" bestFit="1" customWidth="1"/>
    <col min="11778" max="11778" width="13.75" style="3" customWidth="1"/>
    <col min="11779" max="11782" width="11" style="3" customWidth="1"/>
    <col min="11783" max="11783" width="10.875" style="3" bestFit="1" customWidth="1"/>
    <col min="11784" max="11785" width="9.875" style="3"/>
    <col min="11786" max="11786" width="12.375" style="3" customWidth="1"/>
    <col min="11787" max="11788" width="9.875" style="3"/>
    <col min="11789" max="11789" width="12.125" style="3" bestFit="1" customWidth="1"/>
    <col min="11790" max="11793" width="9.875" style="3"/>
    <col min="11794" max="11794" width="10.375" style="3" customWidth="1"/>
    <col min="11795" max="12032" width="9.875" style="3"/>
    <col min="12033" max="12033" width="10.875" style="3" bestFit="1" customWidth="1"/>
    <col min="12034" max="12034" width="13.75" style="3" customWidth="1"/>
    <col min="12035" max="12038" width="11" style="3" customWidth="1"/>
    <col min="12039" max="12039" width="10.875" style="3" bestFit="1" customWidth="1"/>
    <col min="12040" max="12041" width="9.875" style="3"/>
    <col min="12042" max="12042" width="12.375" style="3" customWidth="1"/>
    <col min="12043" max="12044" width="9.875" style="3"/>
    <col min="12045" max="12045" width="12.125" style="3" bestFit="1" customWidth="1"/>
    <col min="12046" max="12049" width="9.875" style="3"/>
    <col min="12050" max="12050" width="10.375" style="3" customWidth="1"/>
    <col min="12051" max="12288" width="9.875" style="3"/>
    <col min="12289" max="12289" width="10.875" style="3" bestFit="1" customWidth="1"/>
    <col min="12290" max="12290" width="13.75" style="3" customWidth="1"/>
    <col min="12291" max="12294" width="11" style="3" customWidth="1"/>
    <col min="12295" max="12295" width="10.875" style="3" bestFit="1" customWidth="1"/>
    <col min="12296" max="12297" width="9.875" style="3"/>
    <col min="12298" max="12298" width="12.375" style="3" customWidth="1"/>
    <col min="12299" max="12300" width="9.875" style="3"/>
    <col min="12301" max="12301" width="12.125" style="3" bestFit="1" customWidth="1"/>
    <col min="12302" max="12305" width="9.875" style="3"/>
    <col min="12306" max="12306" width="10.375" style="3" customWidth="1"/>
    <col min="12307" max="12544" width="9.875" style="3"/>
    <col min="12545" max="12545" width="10.875" style="3" bestFit="1" customWidth="1"/>
    <col min="12546" max="12546" width="13.75" style="3" customWidth="1"/>
    <col min="12547" max="12550" width="11" style="3" customWidth="1"/>
    <col min="12551" max="12551" width="10.875" style="3" bestFit="1" customWidth="1"/>
    <col min="12552" max="12553" width="9.875" style="3"/>
    <col min="12554" max="12554" width="12.375" style="3" customWidth="1"/>
    <col min="12555" max="12556" width="9.875" style="3"/>
    <col min="12557" max="12557" width="12.125" style="3" bestFit="1" customWidth="1"/>
    <col min="12558" max="12561" width="9.875" style="3"/>
    <col min="12562" max="12562" width="10.375" style="3" customWidth="1"/>
    <col min="12563" max="12800" width="9.875" style="3"/>
    <col min="12801" max="12801" width="10.875" style="3" bestFit="1" customWidth="1"/>
    <col min="12802" max="12802" width="13.75" style="3" customWidth="1"/>
    <col min="12803" max="12806" width="11" style="3" customWidth="1"/>
    <col min="12807" max="12807" width="10.875" style="3" bestFit="1" customWidth="1"/>
    <col min="12808" max="12809" width="9.875" style="3"/>
    <col min="12810" max="12810" width="12.375" style="3" customWidth="1"/>
    <col min="12811" max="12812" width="9.875" style="3"/>
    <col min="12813" max="12813" width="12.125" style="3" bestFit="1" customWidth="1"/>
    <col min="12814" max="12817" width="9.875" style="3"/>
    <col min="12818" max="12818" width="10.375" style="3" customWidth="1"/>
    <col min="12819" max="13056" width="9.875" style="3"/>
    <col min="13057" max="13057" width="10.875" style="3" bestFit="1" customWidth="1"/>
    <col min="13058" max="13058" width="13.75" style="3" customWidth="1"/>
    <col min="13059" max="13062" width="11" style="3" customWidth="1"/>
    <col min="13063" max="13063" width="10.875" style="3" bestFit="1" customWidth="1"/>
    <col min="13064" max="13065" width="9.875" style="3"/>
    <col min="13066" max="13066" width="12.375" style="3" customWidth="1"/>
    <col min="13067" max="13068" width="9.875" style="3"/>
    <col min="13069" max="13069" width="12.125" style="3" bestFit="1" customWidth="1"/>
    <col min="13070" max="13073" width="9.875" style="3"/>
    <col min="13074" max="13074" width="10.375" style="3" customWidth="1"/>
    <col min="13075" max="13312" width="9.875" style="3"/>
    <col min="13313" max="13313" width="10.875" style="3" bestFit="1" customWidth="1"/>
    <col min="13314" max="13314" width="13.75" style="3" customWidth="1"/>
    <col min="13315" max="13318" width="11" style="3" customWidth="1"/>
    <col min="13319" max="13319" width="10.875" style="3" bestFit="1" customWidth="1"/>
    <col min="13320" max="13321" width="9.875" style="3"/>
    <col min="13322" max="13322" width="12.375" style="3" customWidth="1"/>
    <col min="13323" max="13324" width="9.875" style="3"/>
    <col min="13325" max="13325" width="12.125" style="3" bestFit="1" customWidth="1"/>
    <col min="13326" max="13329" width="9.875" style="3"/>
    <col min="13330" max="13330" width="10.375" style="3" customWidth="1"/>
    <col min="13331" max="13568" width="9.875" style="3"/>
    <col min="13569" max="13569" width="10.875" style="3" bestFit="1" customWidth="1"/>
    <col min="13570" max="13570" width="13.75" style="3" customWidth="1"/>
    <col min="13571" max="13574" width="11" style="3" customWidth="1"/>
    <col min="13575" max="13575" width="10.875" style="3" bestFit="1" customWidth="1"/>
    <col min="13576" max="13577" width="9.875" style="3"/>
    <col min="13578" max="13578" width="12.375" style="3" customWidth="1"/>
    <col min="13579" max="13580" width="9.875" style="3"/>
    <col min="13581" max="13581" width="12.125" style="3" bestFit="1" customWidth="1"/>
    <col min="13582" max="13585" width="9.875" style="3"/>
    <col min="13586" max="13586" width="10.375" style="3" customWidth="1"/>
    <col min="13587" max="13824" width="9.875" style="3"/>
    <col min="13825" max="13825" width="10.875" style="3" bestFit="1" customWidth="1"/>
    <col min="13826" max="13826" width="13.75" style="3" customWidth="1"/>
    <col min="13827" max="13830" width="11" style="3" customWidth="1"/>
    <col min="13831" max="13831" width="10.875" style="3" bestFit="1" customWidth="1"/>
    <col min="13832" max="13833" width="9.875" style="3"/>
    <col min="13834" max="13834" width="12.375" style="3" customWidth="1"/>
    <col min="13835" max="13836" width="9.875" style="3"/>
    <col min="13837" max="13837" width="12.125" style="3" bestFit="1" customWidth="1"/>
    <col min="13838" max="13841" width="9.875" style="3"/>
    <col min="13842" max="13842" width="10.375" style="3" customWidth="1"/>
    <col min="13843" max="14080" width="9.875" style="3"/>
    <col min="14081" max="14081" width="10.875" style="3" bestFit="1" customWidth="1"/>
    <col min="14082" max="14082" width="13.75" style="3" customWidth="1"/>
    <col min="14083" max="14086" width="11" style="3" customWidth="1"/>
    <col min="14087" max="14087" width="10.875" style="3" bestFit="1" customWidth="1"/>
    <col min="14088" max="14089" width="9.875" style="3"/>
    <col min="14090" max="14090" width="12.375" style="3" customWidth="1"/>
    <col min="14091" max="14092" width="9.875" style="3"/>
    <col min="14093" max="14093" width="12.125" style="3" bestFit="1" customWidth="1"/>
    <col min="14094" max="14097" width="9.875" style="3"/>
    <col min="14098" max="14098" width="10.375" style="3" customWidth="1"/>
    <col min="14099" max="14336" width="9.875" style="3"/>
    <col min="14337" max="14337" width="10.875" style="3" bestFit="1" customWidth="1"/>
    <col min="14338" max="14338" width="13.75" style="3" customWidth="1"/>
    <col min="14339" max="14342" width="11" style="3" customWidth="1"/>
    <col min="14343" max="14343" width="10.875" style="3" bestFit="1" customWidth="1"/>
    <col min="14344" max="14345" width="9.875" style="3"/>
    <col min="14346" max="14346" width="12.375" style="3" customWidth="1"/>
    <col min="14347" max="14348" width="9.875" style="3"/>
    <col min="14349" max="14349" width="12.125" style="3" bestFit="1" customWidth="1"/>
    <col min="14350" max="14353" width="9.875" style="3"/>
    <col min="14354" max="14354" width="10.375" style="3" customWidth="1"/>
    <col min="14355" max="14592" width="9.875" style="3"/>
    <col min="14593" max="14593" width="10.875" style="3" bestFit="1" customWidth="1"/>
    <col min="14594" max="14594" width="13.75" style="3" customWidth="1"/>
    <col min="14595" max="14598" width="11" style="3" customWidth="1"/>
    <col min="14599" max="14599" width="10.875" style="3" bestFit="1" customWidth="1"/>
    <col min="14600" max="14601" width="9.875" style="3"/>
    <col min="14602" max="14602" width="12.375" style="3" customWidth="1"/>
    <col min="14603" max="14604" width="9.875" style="3"/>
    <col min="14605" max="14605" width="12.125" style="3" bestFit="1" customWidth="1"/>
    <col min="14606" max="14609" width="9.875" style="3"/>
    <col min="14610" max="14610" width="10.375" style="3" customWidth="1"/>
    <col min="14611" max="14848" width="9.875" style="3"/>
    <col min="14849" max="14849" width="10.875" style="3" bestFit="1" customWidth="1"/>
    <col min="14850" max="14850" width="13.75" style="3" customWidth="1"/>
    <col min="14851" max="14854" width="11" style="3" customWidth="1"/>
    <col min="14855" max="14855" width="10.875" style="3" bestFit="1" customWidth="1"/>
    <col min="14856" max="14857" width="9.875" style="3"/>
    <col min="14858" max="14858" width="12.375" style="3" customWidth="1"/>
    <col min="14859" max="14860" width="9.875" style="3"/>
    <col min="14861" max="14861" width="12.125" style="3" bestFit="1" customWidth="1"/>
    <col min="14862" max="14865" width="9.875" style="3"/>
    <col min="14866" max="14866" width="10.375" style="3" customWidth="1"/>
    <col min="14867" max="15104" width="9.875" style="3"/>
    <col min="15105" max="15105" width="10.875" style="3" bestFit="1" customWidth="1"/>
    <col min="15106" max="15106" width="13.75" style="3" customWidth="1"/>
    <col min="15107" max="15110" width="11" style="3" customWidth="1"/>
    <col min="15111" max="15111" width="10.875" style="3" bestFit="1" customWidth="1"/>
    <col min="15112" max="15113" width="9.875" style="3"/>
    <col min="15114" max="15114" width="12.375" style="3" customWidth="1"/>
    <col min="15115" max="15116" width="9.875" style="3"/>
    <col min="15117" max="15117" width="12.125" style="3" bestFit="1" customWidth="1"/>
    <col min="15118" max="15121" width="9.875" style="3"/>
    <col min="15122" max="15122" width="10.375" style="3" customWidth="1"/>
    <col min="15123" max="15360" width="9.875" style="3"/>
    <col min="15361" max="15361" width="10.875" style="3" bestFit="1" customWidth="1"/>
    <col min="15362" max="15362" width="13.75" style="3" customWidth="1"/>
    <col min="15363" max="15366" width="11" style="3" customWidth="1"/>
    <col min="15367" max="15367" width="10.875" style="3" bestFit="1" customWidth="1"/>
    <col min="15368" max="15369" width="9.875" style="3"/>
    <col min="15370" max="15370" width="12.375" style="3" customWidth="1"/>
    <col min="15371" max="15372" width="9.875" style="3"/>
    <col min="15373" max="15373" width="12.125" style="3" bestFit="1" customWidth="1"/>
    <col min="15374" max="15377" width="9.875" style="3"/>
    <col min="15378" max="15378" width="10.375" style="3" customWidth="1"/>
    <col min="15379" max="15616" width="9.875" style="3"/>
    <col min="15617" max="15617" width="10.875" style="3" bestFit="1" customWidth="1"/>
    <col min="15618" max="15618" width="13.75" style="3" customWidth="1"/>
    <col min="15619" max="15622" width="11" style="3" customWidth="1"/>
    <col min="15623" max="15623" width="10.875" style="3" bestFit="1" customWidth="1"/>
    <col min="15624" max="15625" width="9.875" style="3"/>
    <col min="15626" max="15626" width="12.375" style="3" customWidth="1"/>
    <col min="15627" max="15628" width="9.875" style="3"/>
    <col min="15629" max="15629" width="12.125" style="3" bestFit="1" customWidth="1"/>
    <col min="15630" max="15633" width="9.875" style="3"/>
    <col min="15634" max="15634" width="10.375" style="3" customWidth="1"/>
    <col min="15635" max="15872" width="9.875" style="3"/>
    <col min="15873" max="15873" width="10.875" style="3" bestFit="1" customWidth="1"/>
    <col min="15874" max="15874" width="13.75" style="3" customWidth="1"/>
    <col min="15875" max="15878" width="11" style="3" customWidth="1"/>
    <col min="15879" max="15879" width="10.875" style="3" bestFit="1" customWidth="1"/>
    <col min="15880" max="15881" width="9.875" style="3"/>
    <col min="15882" max="15882" width="12.375" style="3" customWidth="1"/>
    <col min="15883" max="15884" width="9.875" style="3"/>
    <col min="15885" max="15885" width="12.125" style="3" bestFit="1" customWidth="1"/>
    <col min="15886" max="15889" width="9.875" style="3"/>
    <col min="15890" max="15890" width="10.375" style="3" customWidth="1"/>
    <col min="15891" max="16128" width="9.875" style="3"/>
    <col min="16129" max="16129" width="10.875" style="3" bestFit="1" customWidth="1"/>
    <col min="16130" max="16130" width="13.75" style="3" customWidth="1"/>
    <col min="16131" max="16134" width="11" style="3" customWidth="1"/>
    <col min="16135" max="16135" width="10.875" style="3" bestFit="1" customWidth="1"/>
    <col min="16136" max="16137" width="9.875" style="3"/>
    <col min="16138" max="16138" width="12.375" style="3" customWidth="1"/>
    <col min="16139" max="16140" width="9.875" style="3"/>
    <col min="16141" max="16141" width="12.125" style="3" bestFit="1" customWidth="1"/>
    <col min="16142" max="16145" width="9.875" style="3"/>
    <col min="16146" max="16146" width="10.375" style="3" customWidth="1"/>
    <col min="16147" max="16384" width="9.875" style="3"/>
  </cols>
  <sheetData>
    <row r="1" spans="2:22" ht="15.75">
      <c r="J1" s="2">
        <v>44152</v>
      </c>
    </row>
    <row r="2" spans="2:22" ht="15.75">
      <c r="B2" s="4" t="s">
        <v>0</v>
      </c>
      <c r="H2" s="1" t="s">
        <v>1</v>
      </c>
    </row>
    <row r="3" spans="2:22" ht="16.5" thickBot="1"/>
    <row r="4" spans="2:22" ht="15.75">
      <c r="B4" s="73"/>
      <c r="C4" s="75" t="s">
        <v>2</v>
      </c>
      <c r="D4" s="75" t="s">
        <v>3</v>
      </c>
      <c r="E4" s="77" t="s">
        <v>4</v>
      </c>
      <c r="F4" s="78"/>
      <c r="G4" s="78"/>
      <c r="H4" s="79"/>
      <c r="I4" s="66" t="s">
        <v>5</v>
      </c>
      <c r="J4" s="68" t="s">
        <v>6</v>
      </c>
    </row>
    <row r="5" spans="2:22" ht="16.5" thickBot="1">
      <c r="B5" s="74"/>
      <c r="C5" s="76"/>
      <c r="D5" s="76"/>
      <c r="E5" s="5" t="s">
        <v>7</v>
      </c>
      <c r="F5" s="5" t="s">
        <v>8</v>
      </c>
      <c r="G5" s="5" t="s">
        <v>9</v>
      </c>
      <c r="H5" s="5" t="s">
        <v>10</v>
      </c>
      <c r="I5" s="67"/>
      <c r="J5" s="69"/>
      <c r="K5" s="6"/>
    </row>
    <row r="6" spans="2:22" ht="16.5" thickBot="1">
      <c r="B6" s="7" t="s">
        <v>11</v>
      </c>
      <c r="C6" s="8">
        <v>0</v>
      </c>
      <c r="D6" s="9">
        <v>0</v>
      </c>
      <c r="E6" s="10">
        <v>57</v>
      </c>
      <c r="F6" s="10">
        <v>57</v>
      </c>
      <c r="G6" s="10">
        <v>57</v>
      </c>
      <c r="H6" s="11">
        <f>AVERAGE(E6:G6)</f>
        <v>57</v>
      </c>
      <c r="I6" s="12">
        <v>72</v>
      </c>
      <c r="J6" s="13"/>
      <c r="K6" s="14"/>
      <c r="L6" s="15"/>
      <c r="M6" s="15"/>
      <c r="N6" s="15"/>
      <c r="O6" s="15"/>
    </row>
    <row r="7" spans="2:22" ht="16.5" thickBot="1">
      <c r="B7" s="16" t="s">
        <v>12</v>
      </c>
      <c r="C7" s="17">
        <v>4.8</v>
      </c>
      <c r="D7" s="18">
        <v>0</v>
      </c>
      <c r="E7" s="19">
        <v>58</v>
      </c>
      <c r="F7" s="19">
        <v>58</v>
      </c>
      <c r="G7" s="19">
        <v>58</v>
      </c>
      <c r="H7" s="20">
        <f t="shared" ref="H7:H15" si="0">AVERAGE(E7:G7)</f>
        <v>58</v>
      </c>
      <c r="I7" s="21">
        <f t="shared" ref="I7:I15" si="1">$H$6*72/H7</f>
        <v>70.758620689655174</v>
      </c>
      <c r="J7" s="22">
        <v>0</v>
      </c>
      <c r="K7" s="14"/>
      <c r="L7" s="23" t="s">
        <v>13</v>
      </c>
      <c r="M7" s="24" t="s">
        <v>14</v>
      </c>
      <c r="N7" s="24" t="s">
        <v>15</v>
      </c>
      <c r="O7" s="25" t="s">
        <v>16</v>
      </c>
    </row>
    <row r="8" spans="2:22" ht="15.75">
      <c r="B8" s="16" t="s">
        <v>12</v>
      </c>
      <c r="C8" s="17">
        <v>4.8</v>
      </c>
      <c r="D8" s="26">
        <v>10</v>
      </c>
      <c r="E8" s="19">
        <v>59</v>
      </c>
      <c r="F8" s="19">
        <v>59</v>
      </c>
      <c r="G8" s="19">
        <v>59</v>
      </c>
      <c r="H8" s="20">
        <f t="shared" si="0"/>
        <v>59</v>
      </c>
      <c r="I8" s="21">
        <f t="shared" si="1"/>
        <v>69.559322033898312</v>
      </c>
      <c r="J8" s="22">
        <f>POWER(10,((-$V$10-POWER(($V$10*$V$10)-4*$V$9*($V$12-I8),1/2))/(2*$V$9)))</f>
        <v>12.702968578573895</v>
      </c>
      <c r="K8" s="27"/>
      <c r="L8" s="28">
        <f>D8</f>
        <v>10</v>
      </c>
      <c r="M8" s="29">
        <f>LOG10(L8)</f>
        <v>1</v>
      </c>
      <c r="N8" s="30">
        <f t="shared" ref="N8:N15" si="2">M8^2</f>
        <v>1</v>
      </c>
      <c r="O8" s="31">
        <f>I8</f>
        <v>69.559322033898312</v>
      </c>
    </row>
    <row r="9" spans="2:22" ht="15.75">
      <c r="B9" s="16" t="s">
        <v>12</v>
      </c>
      <c r="C9" s="17">
        <v>4.8</v>
      </c>
      <c r="D9" s="26">
        <v>20</v>
      </c>
      <c r="E9" s="19">
        <v>60</v>
      </c>
      <c r="F9" s="19">
        <v>60</v>
      </c>
      <c r="G9" s="19">
        <v>60</v>
      </c>
      <c r="H9" s="20">
        <f t="shared" si="0"/>
        <v>60</v>
      </c>
      <c r="I9" s="21">
        <f t="shared" si="1"/>
        <v>68.400000000000006</v>
      </c>
      <c r="J9" s="22">
        <f t="shared" ref="J9:J14" si="3">POWER(10,((-$V$10-POWER(($V$10*$V$10)-4*$V$9*($V$12-I9),1/2))/(2*$V$9)))</f>
        <v>16.392793074298172</v>
      </c>
      <c r="K9" s="27"/>
      <c r="L9" s="32">
        <f>D9</f>
        <v>20</v>
      </c>
      <c r="M9" s="33">
        <f t="shared" ref="M9:M15" si="4">LOG10(L9)</f>
        <v>1.3010299956639813</v>
      </c>
      <c r="N9" s="34">
        <f t="shared" si="2"/>
        <v>1.6926790496174191</v>
      </c>
      <c r="O9" s="35">
        <f t="shared" ref="O9:O14" si="5">I9</f>
        <v>68.400000000000006</v>
      </c>
      <c r="U9" s="1" t="s">
        <v>17</v>
      </c>
      <c r="V9" s="36">
        <f>INDEX(LINEST(I8:I15,M8:N15),1)</f>
        <v>-12.127823084222623</v>
      </c>
    </row>
    <row r="10" spans="2:22" ht="15.75">
      <c r="B10" s="16" t="s">
        <v>12</v>
      </c>
      <c r="C10" s="17">
        <v>4.8</v>
      </c>
      <c r="D10" s="26">
        <v>40</v>
      </c>
      <c r="E10" s="19">
        <v>65</v>
      </c>
      <c r="F10" s="19">
        <v>64</v>
      </c>
      <c r="G10" s="19">
        <v>65</v>
      </c>
      <c r="H10" s="20">
        <f t="shared" si="0"/>
        <v>64.666666666666671</v>
      </c>
      <c r="I10" s="21">
        <f t="shared" si="1"/>
        <v>63.463917525773191</v>
      </c>
      <c r="J10" s="22">
        <f t="shared" si="3"/>
        <v>33.906067197826466</v>
      </c>
      <c r="K10" s="27"/>
      <c r="L10" s="32">
        <v>40</v>
      </c>
      <c r="M10" s="33">
        <f t="shared" si="4"/>
        <v>1.6020599913279623</v>
      </c>
      <c r="N10" s="34">
        <f t="shared" si="2"/>
        <v>2.5665962158137505</v>
      </c>
      <c r="O10" s="35">
        <f t="shared" si="5"/>
        <v>63.463917525773191</v>
      </c>
      <c r="U10" s="1" t="s">
        <v>18</v>
      </c>
      <c r="V10" s="36">
        <f>INDEX(LINEST(I8:I15,M8:N15),2)</f>
        <v>17.650930104831033</v>
      </c>
    </row>
    <row r="11" spans="2:22" ht="15.75">
      <c r="B11" s="16" t="s">
        <v>12</v>
      </c>
      <c r="C11" s="17">
        <v>4.8</v>
      </c>
      <c r="D11" s="26">
        <v>60</v>
      </c>
      <c r="E11" s="19">
        <v>72</v>
      </c>
      <c r="F11" s="19">
        <v>72</v>
      </c>
      <c r="G11" s="19">
        <v>71</v>
      </c>
      <c r="H11" s="20">
        <f t="shared" si="0"/>
        <v>71.666666666666671</v>
      </c>
      <c r="I11" s="21">
        <f t="shared" si="1"/>
        <v>57.265116279069765</v>
      </c>
      <c r="J11" s="22">
        <f t="shared" si="3"/>
        <v>63.464066770531026</v>
      </c>
      <c r="K11" s="27"/>
      <c r="L11" s="32">
        <v>60</v>
      </c>
      <c r="M11" s="33">
        <f t="shared" si="4"/>
        <v>1.7781512503836436</v>
      </c>
      <c r="N11" s="34">
        <f t="shared" si="2"/>
        <v>3.1618218692409155</v>
      </c>
      <c r="O11" s="35">
        <f t="shared" si="5"/>
        <v>57.265116279069765</v>
      </c>
      <c r="U11" s="1" t="s">
        <v>18</v>
      </c>
      <c r="V11" s="36" t="e">
        <f>INDEX(LINEST(I9:I16,M9:N16),2)</f>
        <v>#VALUE!</v>
      </c>
    </row>
    <row r="12" spans="2:22" ht="16.5" thickBot="1">
      <c r="B12" s="16" t="s">
        <v>12</v>
      </c>
      <c r="C12" s="17">
        <v>4.8</v>
      </c>
      <c r="D12" s="26">
        <v>80</v>
      </c>
      <c r="E12" s="19">
        <v>78</v>
      </c>
      <c r="F12" s="19">
        <v>77</v>
      </c>
      <c r="G12" s="19">
        <v>77</v>
      </c>
      <c r="H12" s="20">
        <f t="shared" si="0"/>
        <v>77.333333333333329</v>
      </c>
      <c r="I12" s="21">
        <f t="shared" si="1"/>
        <v>53.068965517241381</v>
      </c>
      <c r="J12" s="22">
        <f>POWER(10,((-$V$10-POWER(($V$10*$V$10)-4*$V$9*($V$12-I12),1/2))/(2*$V$9)))</f>
        <v>89.733591441352829</v>
      </c>
      <c r="K12" s="27"/>
      <c r="L12" s="32">
        <v>80</v>
      </c>
      <c r="M12" s="33">
        <f t="shared" si="4"/>
        <v>1.9030899869919435</v>
      </c>
      <c r="N12" s="34">
        <f t="shared" si="2"/>
        <v>3.621751498588996</v>
      </c>
      <c r="O12" s="35">
        <f>I12</f>
        <v>53.068965517241381</v>
      </c>
      <c r="U12" s="1" t="s">
        <v>19</v>
      </c>
      <c r="V12" s="37">
        <f>INDEX(LINEST(I8:I15,M8:N15),3)</f>
        <v>64.853415076577591</v>
      </c>
    </row>
    <row r="13" spans="2:22" ht="16.5" thickBot="1">
      <c r="B13" s="16" t="s">
        <v>12</v>
      </c>
      <c r="C13" s="17">
        <v>4.8</v>
      </c>
      <c r="D13" s="26">
        <v>120</v>
      </c>
      <c r="E13" s="19">
        <v>85</v>
      </c>
      <c r="F13" s="19">
        <v>85</v>
      </c>
      <c r="G13" s="19">
        <v>85</v>
      </c>
      <c r="H13" s="20">
        <f t="shared" si="0"/>
        <v>85</v>
      </c>
      <c r="I13" s="21">
        <f t="shared" si="1"/>
        <v>48.28235294117647</v>
      </c>
      <c r="J13" s="22">
        <f t="shared" si="3"/>
        <v>127.24134621254682</v>
      </c>
      <c r="K13" s="38"/>
      <c r="L13" s="32">
        <v>120</v>
      </c>
      <c r="M13" s="33">
        <f t="shared" si="4"/>
        <v>2.0791812460476247</v>
      </c>
      <c r="N13" s="34">
        <f t="shared" si="2"/>
        <v>4.3229946539161528</v>
      </c>
      <c r="O13" s="35">
        <f t="shared" si="5"/>
        <v>48.28235294117647</v>
      </c>
      <c r="U13" s="1" t="s">
        <v>20</v>
      </c>
      <c r="V13" s="39">
        <f>INDEX(LINEST(I8:I15,M8:N15,1,1),3,1)</f>
        <v>0.98947546028256328</v>
      </c>
    </row>
    <row r="14" spans="2:22" ht="15.75">
      <c r="B14" s="16" t="s">
        <v>12</v>
      </c>
      <c r="C14" s="17">
        <v>4.8</v>
      </c>
      <c r="D14" s="26">
        <v>160</v>
      </c>
      <c r="E14" s="19">
        <v>91</v>
      </c>
      <c r="F14" s="19">
        <v>91</v>
      </c>
      <c r="G14" s="19">
        <v>91</v>
      </c>
      <c r="H14" s="20">
        <f t="shared" si="0"/>
        <v>91</v>
      </c>
      <c r="I14" s="21">
        <f t="shared" si="1"/>
        <v>45.098901098901102</v>
      </c>
      <c r="J14" s="22">
        <f t="shared" si="3"/>
        <v>157.34665042759241</v>
      </c>
      <c r="K14" s="38"/>
      <c r="L14" s="40">
        <v>160</v>
      </c>
      <c r="M14" s="33">
        <f t="shared" si="4"/>
        <v>2.2041199826559246</v>
      </c>
      <c r="N14" s="34">
        <f t="shared" si="2"/>
        <v>4.858144897943153</v>
      </c>
      <c r="O14" s="35">
        <f t="shared" si="5"/>
        <v>45.098901098901102</v>
      </c>
    </row>
    <row r="15" spans="2:22" ht="16.5" thickBot="1">
      <c r="B15" s="41" t="s">
        <v>12</v>
      </c>
      <c r="C15" s="42">
        <v>4.8</v>
      </c>
      <c r="D15" s="43">
        <v>200</v>
      </c>
      <c r="E15" s="44">
        <v>97</v>
      </c>
      <c r="F15" s="44">
        <v>98</v>
      </c>
      <c r="G15" s="44">
        <v>97</v>
      </c>
      <c r="H15" s="45">
        <f t="shared" si="0"/>
        <v>97.333333333333329</v>
      </c>
      <c r="I15" s="46">
        <f t="shared" si="1"/>
        <v>42.164383561643838</v>
      </c>
      <c r="J15" s="47">
        <f>POWER(10,((-$V$10-POWER(($V$10*$V$10)-4*$V$9*($V$12-I15),1/2))/(2*$V$9)))</f>
        <v>189.24274875603822</v>
      </c>
      <c r="K15" s="38"/>
      <c r="L15" s="48">
        <v>200</v>
      </c>
      <c r="M15" s="49">
        <f t="shared" si="4"/>
        <v>2.3010299956639813</v>
      </c>
      <c r="N15" s="50">
        <f t="shared" si="2"/>
        <v>5.2947390409453812</v>
      </c>
      <c r="O15" s="51">
        <f>I15</f>
        <v>42.164383561643838</v>
      </c>
    </row>
    <row r="16" spans="2:22" ht="16.5" thickBot="1">
      <c r="B16" s="52"/>
      <c r="C16" s="53"/>
      <c r="D16" s="53"/>
      <c r="E16" s="54"/>
      <c r="F16" s="54"/>
      <c r="G16" s="54"/>
      <c r="H16" s="55"/>
      <c r="I16" s="55"/>
      <c r="J16" s="56"/>
      <c r="L16" s="57"/>
      <c r="M16" s="58"/>
      <c r="N16" s="6"/>
      <c r="O16" s="59"/>
    </row>
    <row r="17" spans="2:15" ht="16.5" thickBot="1">
      <c r="B17" s="70"/>
      <c r="C17" s="71"/>
      <c r="D17" s="72"/>
      <c r="E17" s="60">
        <v>91</v>
      </c>
      <c r="F17" s="60">
        <v>91</v>
      </c>
      <c r="G17" s="60">
        <v>91</v>
      </c>
      <c r="H17" s="61">
        <f>AVERAGE(E17:G17)</f>
        <v>91</v>
      </c>
      <c r="I17" s="62">
        <f>$H$6*72/H17</f>
        <v>45.098901098901102</v>
      </c>
      <c r="J17" s="63">
        <f>POWER(10,((-$V$10-POWER(($V$10*$V$10)-4*$V$9*($V$12-I17),1/2))/(2*$V$9)))</f>
        <v>157.34665042759241</v>
      </c>
      <c r="L17" s="57"/>
      <c r="M17" s="58"/>
      <c r="N17" s="6"/>
      <c r="O17" s="59"/>
    </row>
    <row r="18" spans="2:15" ht="15.75">
      <c r="B18" s="52"/>
      <c r="C18" s="53"/>
      <c r="D18" s="53"/>
      <c r="E18" s="54"/>
      <c r="F18" s="54"/>
      <c r="G18" s="54"/>
      <c r="H18" s="55"/>
      <c r="I18" s="55"/>
      <c r="J18" s="56"/>
      <c r="L18" s="57"/>
      <c r="M18" s="58"/>
      <c r="N18" s="6"/>
      <c r="O18" s="59"/>
    </row>
    <row r="27" spans="2:15" ht="22.5" customHeight="1">
      <c r="E27" s="64" t="s">
        <v>21</v>
      </c>
      <c r="F27" s="64" t="s">
        <v>22</v>
      </c>
    </row>
    <row r="28" spans="2:15" ht="22.5" customHeight="1">
      <c r="E28" s="65">
        <v>61.5</v>
      </c>
      <c r="F28" s="64">
        <f>2.378*(E28-56.85)</f>
        <v>11.057699999999997</v>
      </c>
      <c r="H28" s="1">
        <v>12.2</v>
      </c>
    </row>
    <row r="29" spans="2:15" ht="17.100000000000001" customHeight="1">
      <c r="H29" s="1">
        <v>11</v>
      </c>
    </row>
  </sheetData>
  <mergeCells count="7">
    <mergeCell ref="I4:I5"/>
    <mergeCell ref="J4:J5"/>
    <mergeCell ref="B17:D17"/>
    <mergeCell ref="B4:B5"/>
    <mergeCell ref="C4:C5"/>
    <mergeCell ref="D4:D5"/>
    <mergeCell ref="E4:H4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Metalor Technologies 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Kathy</dc:creator>
  <cp:lastModifiedBy>xbany</cp:lastModifiedBy>
  <cp:lastPrinted>2022-02-22T01:07:17Z</cp:lastPrinted>
  <dcterms:created xsi:type="dcterms:W3CDTF">2020-12-18T01:30:08Z</dcterms:created>
  <dcterms:modified xsi:type="dcterms:W3CDTF">2025-05-16T02:51:54Z</dcterms:modified>
</cp:coreProperties>
</file>